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 me" sheetId="1" state="visible" r:id="rId3"/>
    <sheet name="Open items" sheetId="2" state="visible" r:id="rId4"/>
    <sheet name="Summary" sheetId="3" state="visible" r:id="rId5"/>
    <sheet name="Self-serve signup" sheetId="4" state="visible" r:id="rId6"/>
  </sheets>
  <definedNames>
    <definedName function="false" hidden="false" localSheetId="1" name="_xlnm.Print_Titles" vbProcedure="false">'Open items'!$4:$4</definedName>
    <definedName function="false" hidden="true" localSheetId="1" name="_xlnm._FilterDatabase" vbProcedure="false">'Open items'!$A$4:$K$49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<sst xmlns="http://schemas.openxmlformats.org/spreadsheetml/2006/main" count="415" uniqueCount="224">
  <si>
    <t xml:space="preserve">Read me</t>
  </si>
  <si>
    <t xml:space="preserve">Two warnings first</t>
  </si>
  <si>
    <t xml:space="preserve">Do not set QUMO_DORMANT_ERASE_AFTER_DAYS without reading item 4 of docs/popia.md. The dormancy sweep would erase unspent balances along with the dormant account, and POPIA section 14 pulls against CPA sections 35 and 63 on exactly that point. Item 3.2.</t>
  </si>
  <si>
    <t xml:space="preserve">A cloud slip reader makes that vendor a POPIA operator and, if it is offshore, a section 72 transborder flow the shopper notice has to disclose. A reader running in our own process avoids all of it. Item 3.3.</t>
  </si>
  <si>
    <t xml:space="preserve">What the tabs are</t>
  </si>
  <si>
    <t xml:space="preserve">Open items: one row per item, grouped by section, filterable. Edit Status, Target date and Your notes. Leave ID, Section, Item, Owner, Gates a pilot, Warning, Detail and Reference alone, because they are generated and will be overwritten if this file is rebuilt.</t>
  </si>
  <si>
    <t xml:space="preserve">Summary: counts, all by formula off the Open items tab. Change a status there and these move.</t>
  </si>
  <si>
    <t xml:space="preserve">Self-serve signup: the three pieces, since the decision is being weighed.</t>
  </si>
  <si>
    <t xml:space="preserve">Owners</t>
  </si>
  <si>
    <t xml:space="preserve">Allan: yours. Lawyer: needs a lawyer and therefore calendar time. Claude: can be built. A pair means both are needed.</t>
  </si>
  <si>
    <t xml:space="preserve">Statuses</t>
  </si>
  <si>
    <t xml:space="preserve">Not started, In progress, Waiting on someone, Blocked, Done, Parked. Done and Parked both drop out of the by-owner counts on the Summary tab; Blocked does not, on purpose.</t>
  </si>
  <si>
    <t xml:space="preserve">Where this came from</t>
  </si>
  <si>
    <t xml:space="preserve">Generated from docs/open-items.md on 28 October 2026. That file is the narrative version, with the reasoning in prose, and it is the one to hand to a lawyer. This file is the tracker. If you keep status here, status lives here, and the markdown stays a description of the work rather than a record of it.</t>
  </si>
  <si>
    <t xml:space="preserve">Documents referenced</t>
  </si>
  <si>
    <t xml:space="preserve">docs/popia.md, docs/terms-brief.md, docs/legal-draft-for-review.md, docs/consent-copy.md, docs/photo-capture.md, docs/competitive-position.md, docs/vaultbook-review.md, docs/brand-context.md, docs/website-brief.md, docs/deploying.md, lib/consumer/consent.ts</t>
  </si>
  <si>
    <t xml:space="preserve">Qumo: what is still open</t>
  </si>
  <si>
    <t xml:space="preserve">Status, Target date and Your notes are yours to edit. Everything else is generated from docs/open-items.md, so a change there is not a change here. Two red warnings below are load-bearing: read them before acting on items 3.2 and 3.3.</t>
  </si>
  <si>
    <t xml:space="preserve">ID</t>
  </si>
  <si>
    <t xml:space="preserve">Section</t>
  </si>
  <si>
    <t xml:space="preserve">Item</t>
  </si>
  <si>
    <t xml:space="preserve">Owner</t>
  </si>
  <si>
    <t xml:space="preserve">Gates a pilot</t>
  </si>
  <si>
    <t xml:space="preserve">Status</t>
  </si>
  <si>
    <t xml:space="preserve">Target date</t>
  </si>
  <si>
    <t xml:space="preserve">Warning</t>
  </si>
  <si>
    <t xml:space="preserve">Detail</t>
  </si>
  <si>
    <t xml:space="preserve">Reference</t>
  </si>
  <si>
    <t xml:space="preserve">Your notes</t>
  </si>
  <si>
    <t xml:space="preserve">1.1</t>
  </si>
  <si>
    <t xml:space="preserve">1. Gates a pilot with real shoppers</t>
  </si>
  <si>
    <t xml:space="preserve">Confirm or overturn the responsible-party split</t>
  </si>
  <si>
    <t xml:space="preserve">Lawyer</t>
  </si>
  <si>
    <t xml:space="preserve">Yes</t>
  </si>
  <si>
    <t xml:space="preserve">Not started</t>
  </si>
  <si>
    <t xml:space="preserve">The code implements "both, for different purposes" and the shopper notice now says so. If a lawyer lands elsewhere, the notice changes and every brand needs its own consent captured at join, which is a product change rather than a wording one.</t>
  </si>
  <si>
    <t xml:space="preserve">docs/popia.md</t>
  </si>
  <si>
    <t xml:space="preserve">1.2</t>
  </si>
  <si>
    <t xml:space="preserve">Get the shopper copy reviewed</t>
  </si>
  <si>
    <t xml:space="preserve">Written and ready to send, with the three points worth reading first and its queries marked. docs/consent-copy.md is the generated current copy beside it.</t>
  </si>
  <si>
    <t xml:space="preserve">docs/legal-draft-for-review.md</t>
  </si>
  <si>
    <t xml:space="preserve">1.3</t>
  </si>
  <si>
    <t xml:space="preserve">Appoint an Information Officer and register with the Information Regulator</t>
  </si>
  <si>
    <t xml:space="preserve">Allan</t>
  </si>
  <si>
    <t xml:space="preserve">Only if the responsible-party split is confirmed. Calendar time, not build time.</t>
  </si>
  <si>
    <t xml:space="preserve">1.4</t>
  </si>
  <si>
    <t xml:space="preserve">Give a shopper a way to reach Qumo</t>
  </si>
  <si>
    <t xml:space="preserve">Claude</t>
  </si>
  <si>
    <t xml:space="preserve">There is none. Every route runs through whichever brand they scanned. Tolerable for an operator, not for a responsible party.</t>
  </si>
  <si>
    <t xml:space="preserve">1.5</t>
  </si>
  <si>
    <t xml:space="preserve">Write down the breach process (POPIA section 22)</t>
  </si>
  <si>
    <t xml:space="preserve">Allan + lawyer</t>
  </si>
  <si>
    <t xml:space="preserve">Who decides, how fast, who signs the notification.</t>
  </si>
  <si>
    <t xml:space="preserve">1.6</t>
  </si>
  <si>
    <t xml:space="preserve">Draft the brand agreement</t>
  </si>
  <si>
    <t xml:space="preserve">Including the operator clause and the section 21 security obligation.</t>
  </si>
  <si>
    <t xml:space="preserve">2.1</t>
  </si>
  <si>
    <t xml:space="preserve">2. Legal questions already written down</t>
  </si>
  <si>
    <t xml:space="preserve">CPA section 35: loyalty credits as a medium of exchange</t>
  </si>
  <si>
    <t xml:space="preserve">No</t>
  </si>
  <si>
    <t xml:space="preserve">Loyalty credits are a legal medium of exchange "despite any provision in any law, agreement or notice to the contrary". The terms currently say balances are not. Also: issuing value while redemption is closed, against the prohibition on offering a programme without the intention of providing the award.</t>
  </si>
  <si>
    <t xml:space="preserve">docs/terms-brief.md</t>
  </si>
  <si>
    <t xml:space="preserve">2.2</t>
  </si>
  <si>
    <t xml:space="preserve">CPA section 63: the three-year life of a prepaid credit</t>
  </si>
  <si>
    <t xml:space="preserve">A prepaid credit or voucher lives three years. Our terms give 60 days after a brand closes a programme. Whether section 63 reaches earned credits is the highest-value question in the list.</t>
  </si>
  <si>
    <t xml:space="preserve">2.3</t>
  </si>
  <si>
    <t xml:space="preserve">POPIA section 57: prior authorisation for unique identifiers</t>
  </si>
  <si>
    <t xml:space="preserve">Prior authorisation for linking unique identifiers across responsible parties. One phone number identifying one account across many brands is exactly the shape of the worked example, and authorisation has to come before the processing, not after.</t>
  </si>
  <si>
    <t xml:space="preserve">2.4</t>
  </si>
  <si>
    <t xml:space="preserve">POPIA sections 18 and 72: the database is in the United States</t>
  </si>
  <si>
    <t xml:space="preserve">The notice says nothing about it and probably has to. See also the Neon region item under Operations.</t>
  </si>
  <si>
    <t xml:space="preserve">2.5</t>
  </si>
  <si>
    <t xml:space="preserve">Children: no minimum age means nothing stops a child joining</t>
  </si>
  <si>
    <t xml:space="preserve">Lawyer + Claude</t>
  </si>
  <si>
    <t xml:space="preserve">A brand that sets no minimum age is never asked one. A product fix, not a drafting one.</t>
  </si>
  <si>
    <t xml:space="preserve">2.6</t>
  </si>
  <si>
    <t xml:space="preserve">Taking payment online</t>
  </si>
  <si>
    <t xml:space="preserve">Only if self-serve signup happens: CPA on cancellation and refunds, ECTA on electronic transactions.</t>
  </si>
  <si>
    <t xml:space="preserve">3.1</t>
  </si>
  <si>
    <t xml:space="preserve">3. Decisions only you can take</t>
  </si>
  <si>
    <t xml:space="preserve">Self-serve signup and payment</t>
  </si>
  <si>
    <t xml:space="preserve">Under consideration. The subscription state machine already exists; what is missing is taking money and issuing the invite automatically.</t>
  </si>
  <si>
    <t xml:space="preserve">See the Self-serve signup tab</t>
  </si>
  <si>
    <t xml:space="preserve">3.2</t>
  </si>
  <si>
    <t xml:space="preserve">The dormancy window</t>
  </si>
  <si>
    <t xml:space="preserve">Do not set QUMO_DORMANT_ERASE_AFTER_DAYS without reading item 4 of docs/popia.md first. The sweep would erase unspent balances along with the dormant account.</t>
  </si>
  <si>
    <t xml:space="preserve">QUMO_DORMANT_ERASE_AFTER_DAYS is unset. POPIA section 14 and CPA sections 35 and 63 pull in opposite directions on it.</t>
  </si>
  <si>
    <t xml:space="preserve">docs/popia.md item 4</t>
  </si>
  <si>
    <t xml:space="preserve">3.3</t>
  </si>
  <si>
    <t xml:space="preserve">Pick a slip reader, or decide not to yet</t>
  </si>
  <si>
    <t xml:space="preserve">A cloud reader makes that vendor a POPIA operator and, if it is offshore, a section 72 transborder flow the shopper notice has to disclose.</t>
  </si>
  <si>
    <t xml:space="preserve">The photograph tier is built and disabled. docs/photo-capture.md has the four things to weigh. A reader running in our own process avoids the whole problem in the warning column.</t>
  </si>
  <si>
    <t xml:space="preserve">docs/photo-capture.md</t>
  </si>
  <si>
    <t xml:space="preserve">3.4</t>
  </si>
  <si>
    <t xml:space="preserve">Brands whose door is the till</t>
  </si>
  <si>
    <t xml:space="preserve">A coffee chain identifies a shopper at the point of sale and hands the reward over at the same counter. Qumo has no till door and no point of sale integration, and both sit behind items 4.1 and 4.2. Worth costing only if brands of that shape are a target.</t>
  </si>
  <si>
    <t xml:space="preserve">docs/seattle-coffee-review.md</t>
  </si>
  <si>
    <t xml:space="preserve">3.5</t>
  </si>
  <si>
    <t xml:space="preserve">USSD, or not</t>
  </si>
  <si>
    <t xml:space="preserve">The competitor sells it hard to feature-phone and data-off shoppers and we are simply absent from that market. A strategy question, not a backlog item.</t>
  </si>
  <si>
    <t xml:space="preserve">docs/competitive-position.md</t>
  </si>
  <si>
    <t xml:space="preserve">3.6</t>
  </si>
  <si>
    <t xml:space="preserve">Language</t>
  </si>
  <si>
    <t xml:space="preserve">English only today. Mass-market reach here is language-dependent.</t>
  </si>
  <si>
    <t xml:space="preserve">4.1</t>
  </si>
  <si>
    <t xml:space="preserve">4. Product gaps</t>
  </si>
  <si>
    <t xml:space="preserve">A coupon cannot be redeemed</t>
  </si>
  <si>
    <t xml:space="preserve">A brand honouring coupons by eye today has no defence against one code being used at every counter, every time.</t>
  </si>
  <si>
    <t xml:space="preserve">Separate from item 4.3 and worse. A completed stamp card issues a real coupon and nothing anywhere can mark it used: REDEEMED is in schema.prisma and in no TypeScript file. CouponFraudEvent.ALREADY_REDEEMED therefore can never fire, so the same screenshot works at every counter.</t>
  </si>
  <si>
    <t xml:space="preserve">4.2</t>
  </si>
  <si>
    <t xml:space="preserve">A stamp card cannot be earned from a till slip</t>
  </si>
  <si>
    <t xml:space="preserve">At the award form's own default of 500 basis points, a R100 basket awards 500 stamps.</t>
  </si>
  <si>
    <t xml:space="preserve">The slip path resolves campaigns through one filter, PERCENT_OF_SPEND, so the only way to get stamps out of a slip is a share-of-spend rule in stamps, which multiplies stamps by rands. A flat-per-slip rule fixes it and removes the reason anyone would configure the broken combination.</t>
  </si>
  <si>
    <t xml:space="preserve">4.3</t>
  </si>
  <si>
    <t xml:space="preserve">Redemption</t>
  </si>
  <si>
    <t xml:space="preserve">REDEMPTION_AVAILABLE is false. The largest unfinished edge, and CPA section 35 has views about it.</t>
  </si>
  <si>
    <t xml:space="preserve">4.4</t>
  </si>
  <si>
    <t xml:space="preserve">Correct-the-read</t>
  </si>
  <si>
    <t xml:space="preserve">Proposed and not built: let a shopper fix a misread slip in the moment, identity fields only, never the amount. It is what makes photo capture defensible without storing anybody's photograph.</t>
  </si>
  <si>
    <t xml:space="preserve">4.5</t>
  </si>
  <si>
    <t xml:space="preserve">A reader implementation, once one is chosen</t>
  </si>
  <si>
    <t xml:space="preserve">Plus the capture screen and published accuracy standards. Blocked on item 3.3.</t>
  </si>
  <si>
    <t xml:space="preserve">4.6</t>
  </si>
  <si>
    <t xml:space="preserve">Referral</t>
  </si>
  <si>
    <t xml:space="preserve">Once there are shoppers to refer anybody.</t>
  </si>
  <si>
    <t xml:space="preserve">4.7</t>
  </si>
  <si>
    <t xml:space="preserve">WhatsApp</t>
  </si>
  <si>
    <t xml:space="preserve">Planned, not built. Needs its own consent copy and version.</t>
  </si>
  <si>
    <t xml:space="preserve">4.8</t>
  </si>
  <si>
    <t xml:space="preserve">SMS re-consent has no path</t>
  </si>
  <si>
    <t xml:space="preserve">A web shopper on an old consent version re-affirms at next sign-in. An SMS joiner has no next sign-in, so nobody who joined under sms-v1 will ever be shown sms-v2. Costs nothing while no aggregator is connected.</t>
  </si>
  <si>
    <t xml:space="preserve">lib/consumer/consent.ts</t>
  </si>
  <si>
    <t xml:space="preserve">5.1</t>
  </si>
  <si>
    <t xml:space="preserve">5. Operations</t>
  </si>
  <si>
    <t xml:space="preserve">Tick DIRECT_DATABASE_URL for Preview in Vercel</t>
  </si>
  <si>
    <t xml:space="preserve">Production has it. Until then every Preview build fails and that failure means nothing.</t>
  </si>
  <si>
    <t xml:space="preserve">5.2</t>
  </si>
  <si>
    <t xml:space="preserve">Twilio</t>
  </si>
  <si>
    <t xml:space="preserve">Once approved and a real number is live, confirm an SMS actually arrives, then clear DEMO_LOGIN_PHONES and DEMO_LOGIN_CODE in production. In that order.</t>
  </si>
  <si>
    <t xml:space="preserve">5.3</t>
  </si>
  <si>
    <t xml:space="preserve">Vercel plan</t>
  </si>
  <si>
    <t xml:space="preserve">Hobby is licensed for non-commercial personal use only and Vercel reads that broadly.</t>
  </si>
  <si>
    <t xml:space="preserve">docs/deploying.md</t>
  </si>
  <si>
    <t xml:space="preserve">5.4</t>
  </si>
  <si>
    <t xml:space="preserve">Neon region</t>
  </si>
  <si>
    <t xml:space="preserve">The database is in us-east-2. Relevant to the POPIA section 72 question in item 2.4.</t>
  </si>
  <si>
    <t xml:space="preserve">5.5</t>
  </si>
  <si>
    <t xml:space="preserve">ERROR_WEBHOOK_URL is unset</t>
  </si>
  <si>
    <t xml:space="preserve">Nothing is alerting anywhere.</t>
  </si>
  <si>
    <t xml:space="preserve">5.6</t>
  </si>
  <si>
    <t xml:space="preserve">Attach a reward to Copper Kettle's live Rounds card</t>
  </si>
  <si>
    <t xml:space="preserve">It completes at 10 and names nothing, so shoppers would collect forever and be handed nothing.</t>
  </si>
  <si>
    <t xml:space="preserve">6.1</t>
  </si>
  <si>
    <t xml:space="preserve">6. Brand and acquisition</t>
  </si>
  <si>
    <t xml:space="preserve">Brand guide</t>
  </si>
  <si>
    <t xml:space="preserve">In progress</t>
  </si>
  <si>
    <t xml:space="preserve">Context file written and handed over for the brand guide.</t>
  </si>
  <si>
    <t xml:space="preserve">docs/brand-context.md</t>
  </si>
  <si>
    <t xml:space="preserve">6.2</t>
  </si>
  <si>
    <t xml:space="preserve">The acquisition site on qumo.co.za</t>
  </si>
  <si>
    <t xml:space="preserve">Live and audited against the product. Copy corrections applied.</t>
  </si>
  <si>
    <t xml:space="preserve">docs/website-brief.md</t>
  </si>
  <si>
    <t xml:space="preserve">6.3</t>
  </si>
  <si>
    <t xml:space="preserve">Domains</t>
  </si>
  <si>
    <t xml:space="preserve">Allan + Claude</t>
  </si>
  <si>
    <t xml:space="preserve">Done</t>
  </si>
  <si>
    <t xml:space="preserve">Settled: site on qumo.co.za, product stays on qumo-app.com, the old apex redirects to the site. No migration, and standing the site up cannot affect anything running.</t>
  </si>
  <si>
    <t xml:space="preserve">6.4</t>
  </si>
  <si>
    <t xml:space="preserve">The call to action</t>
  </si>
  <si>
    <t xml:space="preserve">Waiting on someone</t>
  </si>
  <si>
    <t xml:space="preserve">Depends on the signup decision in item 3.1. Until then it is "request access".</t>
  </si>
  <si>
    <t xml:space="preserve">7.1</t>
  </si>
  <si>
    <t xml:space="preserve">7. Housekeeping</t>
  </si>
  <si>
    <t xml:space="preserve">Delete ?ui=stacked and the stacked branch with it</t>
  </si>
  <si>
    <t xml:space="preserve">Once the drawer has survived a real brand. Carrying two layouts is how one of them rots.</t>
  </si>
  <si>
    <t xml:space="preserve">7.2</t>
  </si>
  <si>
    <t xml:space="preserve">Drop PurchaseScan.wasSigned</t>
  </si>
  <si>
    <t xml:space="preserve">Once nothing reads it. proofTier replaced it and both are written from one decision so they cannot disagree, but two columns meaning one thing is a trap for whoever reads them next.</t>
  </si>
  <si>
    <t xml:space="preserve">7.3</t>
  </si>
  <si>
    <t xml:space="preserve">Rename the theme cookie</t>
  </si>
  <si>
    <t xml:space="preserve">Still cios_theme, from before the product was called Qumo.</t>
  </si>
  <si>
    <t xml:space="preserve">7.4</t>
  </si>
  <si>
    <t xml:space="preserve">"5% back" is named for something it does not do</t>
  </si>
  <si>
    <t xml:space="preserve">It pays a flat R5 a scan. Demo data, but it is the first thing anybody sees.</t>
  </si>
  <si>
    <t xml:space="preserve">7.5</t>
  </si>
  <si>
    <t xml:space="preserve">couponExpiryDate and codePrefix have no console field</t>
  </si>
  <si>
    <t xml:space="preserve">They can only be set in the database.</t>
  </si>
  <si>
    <t xml:space="preserve">7.6</t>
  </si>
  <si>
    <t xml:space="preserve">Add QUMO_SLIP_READER to .env.example</t>
  </si>
  <si>
    <t xml:space="preserve">So the switch is discoverable before somebody needs it.</t>
  </si>
  <si>
    <t xml:space="preserve">8.1</t>
  </si>
  <si>
    <t xml:space="preserve">8. Parked</t>
  </si>
  <si>
    <t xml:space="preserve">NFC tags</t>
  </si>
  <si>
    <t xml:space="preserve">Parked</t>
  </si>
  <si>
    <t xml:space="preserve">A tag that opens &lt;brand&gt;.qumo-app.com/s/&lt;code&gt; works today with no code change, because a tag is just another way to carry a code. The catch is that every code earns once, ever, so a tag mounted permanently on a table or shelf would award once and then be dead. Permanent placements want the poster link, which deliberately awards nothing. Awarding NFC therefore means one tag per item, like an on-pack code, and the question is cost per tag rather than anything in the software.</t>
  </si>
  <si>
    <t xml:space="preserve">8.2</t>
  </si>
  <si>
    <t xml:space="preserve">Competitions and prize draws</t>
  </si>
  <si>
    <t xml:space="preserve">A different business with its own regulatory surface. If one is ever layered on Qumo codes, the terms need a competitions section first.</t>
  </si>
  <si>
    <t xml:space="preserve">8.3</t>
  </si>
  <si>
    <t xml:space="preserve">Marketing site for shoppers</t>
  </si>
  <si>
    <t xml:space="preserve">There isn't one and there shouldn't be; shoppers arrive from a poster or a pack.</t>
  </si>
  <si>
    <t xml:space="preserve">Where things stand</t>
  </si>
  <si>
    <t xml:space="preserve">Every number here counts the Open items tab. Change a status there and these move.</t>
  </si>
  <si>
    <t xml:space="preserve">Blocked</t>
  </si>
  <si>
    <t xml:space="preserve">Items</t>
  </si>
  <si>
    <t xml:space="preserve">All sections</t>
  </si>
  <si>
    <t xml:space="preserve">Still open, by owner</t>
  </si>
  <si>
    <t xml:space="preserve">Not done</t>
  </si>
  <si>
    <t xml:space="preserve">Of those, gates a pilot</t>
  </si>
  <si>
    <t xml:space="preserve">Gates a pilot and not yet done</t>
  </si>
  <si>
    <t xml:space="preserve">Nothing under section 1 is optional before a real shopper signs up.</t>
  </si>
  <si>
    <t xml:space="preserve">On self-serve signup, since it is being weighed</t>
  </si>
  <si>
    <t xml:space="preserve">Three pieces of very different size. It is less "build self-service signup" than "replace the human gate with a payment gate", and what is on the other side stays an invite.</t>
  </si>
  <si>
    <t xml:space="preserve">Piece</t>
  </si>
  <si>
    <t xml:space="preserve">State</t>
  </si>
  <si>
    <t xml:space="preserve">What it is</t>
  </si>
  <si>
    <t xml:space="preserve">1. Subscription state</t>
  </si>
  <si>
    <t xml:space="preserve">Per-brand TRIALING / ACTIVE / CANCELLED / CLOSED, cancel, resume, period end, and a nightly job that closes elapsed programmes. Already load-bearing: it decides whether scans earn, and the 60-day honour window hangs off it.</t>
  </si>
  <si>
    <t xml:space="preserve">2. Taking money</t>
  </si>
  <si>
    <t xml:space="preserve">Nothing exists</t>
  </si>
  <si>
    <t xml:space="preserve">No provider wired at all. A provider, a webhook, a return URL.</t>
  </si>
  <si>
    <t xml:space="preserve">3. Issuing the invite</t>
  </si>
  <si>
    <t xml:space="preserve">Partly there</t>
  </si>
  <si>
    <t xml:space="preserve">The provision route and setup key are already an invite mechanism. What is missing is generating a one-time link rather than handing a key over by hand.</t>
  </si>
</sst>
</file>

<file path=xl/styles.xml><?xml version="1.0" encoding="utf-8"?>
<styleSheet xmlns="http://schemas.openxmlformats.org/spreadsheetml/2006/main">
  <numFmts count="3">
    <numFmt numFmtId="164" formatCode="General"/>
    <numFmt numFmtId="165" formatCode="yyyy\-mm\-dd"/>
    <numFmt numFmtId="166" formatCode="General"/>
  </numFmts>
  <fonts count="12">
    <font>
      <sz val="11"/>
      <color theme="1"/>
      <name val="Calibri"/>
      <family val="2"/>
      <charset val="1"/>
    </font>
    <font>
      <sz val="10"/>
      <name val="Arial"/>
      <family val="0"/>
    </font>
    <font>
      <sz val="10"/>
      <name val="Arial"/>
      <family val="0"/>
    </font>
    <font>
      <sz val="10"/>
      <name val="Arial"/>
      <family val="0"/>
    </font>
    <font>
      <b val="true"/>
      <sz val="16"/>
      <color rgb="FF1F2430"/>
      <name val="Arial"/>
      <family val="0"/>
      <charset val="1"/>
    </font>
    <font>
      <b val="true"/>
      <sz val="12"/>
      <color rgb="FF1F2430"/>
      <name val="Arial"/>
      <family val="0"/>
      <charset val="1"/>
    </font>
    <font>
      <b val="true"/>
      <sz val="10"/>
      <color rgb="FF9B1C1C"/>
      <name val="Arial"/>
      <family val="0"/>
      <charset val="1"/>
    </font>
    <font>
      <sz val="10"/>
      <color rgb="FF1F2430"/>
      <name val="Arial"/>
      <family val="0"/>
      <charset val="1"/>
    </font>
    <font>
      <i val="true"/>
      <sz val="10"/>
      <color rgb="FF5A6472"/>
      <name val="Arial"/>
      <family val="0"/>
      <charset val="1"/>
    </font>
    <font>
      <b val="true"/>
      <sz val="10"/>
      <color rgb="FFFFFFFF"/>
      <name val="Arial"/>
      <family val="0"/>
      <charset val="1"/>
    </font>
    <font>
      <b val="true"/>
      <sz val="10"/>
      <color rgb="FF1F2430"/>
      <name val="Arial"/>
      <family val="0"/>
      <charset val="1"/>
    </font>
    <font>
      <b val="true"/>
      <sz val="14"/>
      <color rgb="FF9B1C1C"/>
      <name val="Arial"/>
      <family val="0"/>
      <charset val="1"/>
    </font>
  </fonts>
  <fills count="7">
    <fill>
      <patternFill patternType="none"/>
    </fill>
    <fill>
      <patternFill patternType="gray125"/>
    </fill>
    <fill>
      <patternFill patternType="solid">
        <fgColor rgb="FFFDE2E1"/>
        <bgColor rgb="FFECECEC"/>
      </patternFill>
    </fill>
    <fill>
      <patternFill patternType="solid">
        <fgColor rgb="FF1F2430"/>
        <bgColor rgb="FF333300"/>
      </patternFill>
    </fill>
    <fill>
      <patternFill patternType="solid">
        <fgColor rgb="FFF2F4F7"/>
        <bgColor rgb="FFECECEC"/>
      </patternFill>
    </fill>
    <fill>
      <patternFill patternType="solid">
        <fgColor rgb="FFDDF2E3"/>
        <bgColor rgb="FFECECEC"/>
      </patternFill>
    </fill>
    <fill>
      <patternFill patternType="solid">
        <fgColor rgb="FFFFF3D6"/>
        <bgColor rgb="FFF2F4F7"/>
      </patternFill>
    </fill>
  </fills>
  <borders count="2">
    <border diagonalUp="false" diagonalDown="false">
      <left/>
      <right/>
      <top/>
      <bottom/>
      <diagonal/>
    </border>
    <border diagonalUp="false" diagonalDown="false">
      <left style="thin">
        <color rgb="FFD5D9E0"/>
      </left>
      <right style="thin">
        <color rgb="FFD5D9E0"/>
      </right>
      <top style="thin">
        <color rgb="FFD5D9E0"/>
      </top>
      <bottom style="thin">
        <color rgb="FFD5D9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6" fontId="10" fillId="0" borderId="1" xfId="0" applyFont="true" applyBorder="true" applyAlignment="true" applyProtection="false">
      <alignment horizontal="center"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6" fontId="10" fillId="4"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true" applyProtection="false">
      <alignment horizontal="center" vertical="bottom" textRotation="0" wrapText="false" indent="0" shrinkToFit="false"/>
      <protection locked="true" hidden="false"/>
    </xf>
    <xf numFmtId="164" fontId="9" fillId="3" borderId="1" xfId="0" applyFont="true" applyBorder="true" applyAlignment="true" applyProtection="false">
      <alignment horizontal="general" vertical="center"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2430"/>
          <bgColor rgb="FF000000"/>
        </patternFill>
      </fill>
    </dxf>
    <dxf>
      <fill>
        <patternFill patternType="solid">
          <bgColor rgb="FF000000"/>
        </patternFill>
      </fill>
    </dxf>
    <dxf>
      <fill>
        <patternFill patternType="solid">
          <fgColor rgb="FFFFFFFF"/>
          <bgColor rgb="FF000000"/>
        </patternFill>
      </fill>
    </dxf>
    <dxf>
      <fill>
        <patternFill patternType="solid">
          <fgColor rgb="FF9B1C1C"/>
          <bgColor rgb="FF000000"/>
        </patternFill>
      </fill>
    </dxf>
    <dxf>
      <fill>
        <patternFill patternType="solid">
          <fgColor rgb="FFDDF2E3"/>
          <bgColor rgb="FF000000"/>
        </patternFill>
      </fill>
    </dxf>
    <dxf>
      <fill>
        <patternFill patternType="solid">
          <fgColor rgb="FFECECEC"/>
          <bgColor rgb="FF000000"/>
        </patternFill>
      </fill>
    </dxf>
    <dxf>
      <fill>
        <patternFill patternType="solid">
          <fgColor rgb="FFFFF3D6"/>
          <bgColor rgb="FF000000"/>
        </patternFill>
      </fill>
    </dxf>
    <dxf>
      <fill>
        <patternFill patternType="solid">
          <fgColor rgb="FFFDE2E1"/>
          <bgColor rgb="FF000000"/>
        </patternFill>
      </fill>
    </dxf>
    <dxf>
      <fill>
        <patternFill>
          <bgColor rgb="FFDDF2E3"/>
        </patternFill>
      </fill>
    </dxf>
    <dxf>
      <fill>
        <patternFill>
          <bgColor rgb="FFFFF3D6"/>
        </patternFill>
      </fill>
    </dxf>
    <dxf>
      <fill>
        <patternFill>
          <bgColor rgb="FFECECEC"/>
        </patternFill>
      </fill>
    </dxf>
    <dxf>
      <fill>
        <patternFill>
          <bgColor rgb="FFFDE2E1"/>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D6"/>
      <rgbColor rgb="FFF2F4F7"/>
      <rgbColor rgb="FF660066"/>
      <rgbColor rgb="FFFF8080"/>
      <rgbColor rgb="FF0066CC"/>
      <rgbColor rgb="FFD5D9E0"/>
      <rgbColor rgb="FF000080"/>
      <rgbColor rgb="FFFF00FF"/>
      <rgbColor rgb="FFFFFF00"/>
      <rgbColor rgb="FF00FFFF"/>
      <rgbColor rgb="FF800080"/>
      <rgbColor rgb="FF800000"/>
      <rgbColor rgb="FF008080"/>
      <rgbColor rgb="FF0000FF"/>
      <rgbColor rgb="FF00CCFF"/>
      <rgbColor rgb="FFECECEC"/>
      <rgbColor rgb="FFDDF2E3"/>
      <rgbColor rgb="FFFFFF99"/>
      <rgbColor rgb="FF99CCFF"/>
      <rgbColor rgb="FFFF99CC"/>
      <rgbColor rgb="FFCC99FF"/>
      <rgbColor rgb="FFFDE2E1"/>
      <rgbColor rgb="FF3366FF"/>
      <rgbColor rgb="FF33CCCC"/>
      <rgbColor rgb="FF99CC00"/>
      <rgbColor rgb="FFFFCC00"/>
      <rgbColor rgb="FFFF9900"/>
      <rgbColor rgb="FFFF6600"/>
      <rgbColor rgb="FF5A6472"/>
      <rgbColor rgb="FF969696"/>
      <rgbColor rgb="FF003366"/>
      <rgbColor rgb="FF339966"/>
      <rgbColor rgb="FF003300"/>
      <rgbColor rgb="FF333300"/>
      <rgbColor rgb="FF9B1C1C"/>
      <rgbColor rgb="FF993366"/>
      <rgbColor rgb="FF333399"/>
      <rgbColor rgb="FF1F24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8"/>
  </cols>
  <sheetData>
    <row r="1" customFormat="false" ht="19.7" hidden="false" customHeight="false" outlineLevel="0" collapsed="false">
      <c r="A1" s="1" t="s">
        <v>0</v>
      </c>
    </row>
    <row r="3" customFormat="false" ht="15" hidden="false" customHeight="false" outlineLevel="0" collapsed="false">
      <c r="A3" s="2" t="s">
        <v>1</v>
      </c>
    </row>
    <row r="4" customFormat="false" ht="35.05" hidden="false" customHeight="false" outlineLevel="0" collapsed="false">
      <c r="A4" s="3" t="s">
        <v>2</v>
      </c>
    </row>
    <row r="5" customFormat="false" ht="23.85" hidden="false" customHeight="false" outlineLevel="0" collapsed="false">
      <c r="A5" s="3" t="s">
        <v>3</v>
      </c>
    </row>
    <row r="7" customFormat="false" ht="15" hidden="false" customHeight="false" outlineLevel="0" collapsed="false">
      <c r="A7" s="2" t="s">
        <v>4</v>
      </c>
    </row>
    <row r="8" customFormat="false" ht="23.85" hidden="false" customHeight="false" outlineLevel="0" collapsed="false">
      <c r="A8" s="4" t="s">
        <v>5</v>
      </c>
    </row>
    <row r="9" customFormat="false" ht="15" hidden="false" customHeight="false" outlineLevel="0" collapsed="false">
      <c r="A9" s="4" t="s">
        <v>6</v>
      </c>
    </row>
    <row r="10" customFormat="false" ht="15" hidden="false" customHeight="false" outlineLevel="0" collapsed="false">
      <c r="A10" s="4" t="s">
        <v>7</v>
      </c>
    </row>
    <row r="12" customFormat="false" ht="15" hidden="false" customHeight="false" outlineLevel="0" collapsed="false">
      <c r="A12" s="2" t="s">
        <v>8</v>
      </c>
    </row>
    <row r="13" customFormat="false" ht="15" hidden="false" customHeight="false" outlineLevel="0" collapsed="false">
      <c r="A13" s="4" t="s">
        <v>9</v>
      </c>
    </row>
    <row r="15" customFormat="false" ht="15" hidden="false" customHeight="false" outlineLevel="0" collapsed="false">
      <c r="A15" s="2" t="s">
        <v>10</v>
      </c>
    </row>
    <row r="16" customFormat="false" ht="23.85" hidden="false" customHeight="false" outlineLevel="0" collapsed="false">
      <c r="A16" s="4" t="s">
        <v>11</v>
      </c>
    </row>
    <row r="18" customFormat="false" ht="15" hidden="false" customHeight="false" outlineLevel="0" collapsed="false">
      <c r="A18" s="2" t="s">
        <v>12</v>
      </c>
    </row>
    <row r="19" customFormat="false" ht="35.05" hidden="false" customHeight="false" outlineLevel="0" collapsed="false">
      <c r="A19" s="4" t="s">
        <v>13</v>
      </c>
    </row>
    <row r="21" customFormat="false" ht="15" hidden="false" customHeight="false" outlineLevel="0" collapsed="false">
      <c r="A21" s="2" t="s">
        <v>14</v>
      </c>
    </row>
    <row r="22" customFormat="false" ht="23.85" hidden="false" customHeight="false" outlineLevel="0" collapsed="false">
      <c r="A22" s="4"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4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2"/>
    <col collapsed="false" customWidth="true" hidden="false" outlineLevel="0" max="3" min="3" style="0" width="46"/>
    <col collapsed="false" customWidth="true" hidden="false" outlineLevel="0" max="4" min="4" style="0" width="16"/>
    <col collapsed="false" customWidth="true" hidden="false" outlineLevel="0" max="5" min="5" style="0" width="13"/>
    <col collapsed="false" customWidth="true" hidden="false" outlineLevel="0" max="6" min="6" style="0" width="19"/>
    <col collapsed="false" customWidth="true" hidden="false" outlineLevel="0" max="7" min="7" style="0" width="12"/>
    <col collapsed="false" customWidth="true" hidden="false" outlineLevel="0" max="8" min="8" style="0" width="42"/>
    <col collapsed="false" customWidth="true" hidden="false" outlineLevel="0" max="9" min="9" style="0" width="70"/>
    <col collapsed="false" customWidth="true" hidden="false" outlineLevel="0" max="10" min="10" style="0" width="30"/>
    <col collapsed="false" customWidth="true" hidden="false" outlineLevel="0" max="11" min="11" style="0" width="34"/>
  </cols>
  <sheetData>
    <row r="1" customFormat="false" ht="19.7" hidden="false" customHeight="false" outlineLevel="0" collapsed="false">
      <c r="A1" s="1" t="s">
        <v>16</v>
      </c>
    </row>
    <row r="2" customFormat="false" ht="30" hidden="false" customHeight="true" outlineLevel="0" collapsed="false">
      <c r="A2" s="5" t="s">
        <v>17</v>
      </c>
      <c r="B2" s="5"/>
      <c r="C2" s="5"/>
      <c r="D2" s="5"/>
      <c r="E2" s="5"/>
      <c r="F2" s="5"/>
      <c r="G2" s="5"/>
      <c r="H2" s="5"/>
      <c r="I2" s="5"/>
      <c r="J2" s="5"/>
      <c r="K2" s="5"/>
    </row>
    <row r="4" customFormat="false" ht="25.5" hidden="false" customHeight="true" outlineLevel="0" collapsed="false">
      <c r="A4" s="6" t="s">
        <v>18</v>
      </c>
      <c r="B4" s="6" t="s">
        <v>19</v>
      </c>
      <c r="C4" s="6" t="s">
        <v>20</v>
      </c>
      <c r="D4" s="6" t="s">
        <v>21</v>
      </c>
      <c r="E4" s="6" t="s">
        <v>22</v>
      </c>
      <c r="F4" s="6" t="s">
        <v>23</v>
      </c>
      <c r="G4" s="6" t="s">
        <v>24</v>
      </c>
      <c r="H4" s="6" t="s">
        <v>25</v>
      </c>
      <c r="I4" s="6" t="s">
        <v>26</v>
      </c>
      <c r="J4" s="6" t="s">
        <v>27</v>
      </c>
      <c r="K4" s="6" t="s">
        <v>28</v>
      </c>
    </row>
    <row r="5" customFormat="false" ht="35.05" hidden="false" customHeight="false" outlineLevel="0" collapsed="false">
      <c r="A5" s="7" t="s">
        <v>29</v>
      </c>
      <c r="B5" s="8" t="s">
        <v>30</v>
      </c>
      <c r="C5" s="8" t="s">
        <v>31</v>
      </c>
      <c r="D5" s="8" t="s">
        <v>32</v>
      </c>
      <c r="E5" s="9" t="s">
        <v>33</v>
      </c>
      <c r="F5" s="8" t="s">
        <v>34</v>
      </c>
      <c r="G5" s="10"/>
      <c r="H5" s="8"/>
      <c r="I5" s="8" t="s">
        <v>35</v>
      </c>
      <c r="J5" s="8" t="s">
        <v>36</v>
      </c>
      <c r="K5" s="8"/>
    </row>
    <row r="6" customFormat="false" ht="23.85" hidden="false" customHeight="false" outlineLevel="0" collapsed="false">
      <c r="A6" s="7" t="s">
        <v>37</v>
      </c>
      <c r="B6" s="8" t="s">
        <v>30</v>
      </c>
      <c r="C6" s="8" t="s">
        <v>38</v>
      </c>
      <c r="D6" s="8" t="s">
        <v>32</v>
      </c>
      <c r="E6" s="9" t="s">
        <v>33</v>
      </c>
      <c r="F6" s="8" t="s">
        <v>34</v>
      </c>
      <c r="G6" s="10"/>
      <c r="H6" s="8"/>
      <c r="I6" s="8" t="s">
        <v>39</v>
      </c>
      <c r="J6" s="8" t="s">
        <v>40</v>
      </c>
      <c r="K6" s="8"/>
    </row>
    <row r="7" customFormat="false" ht="23.85" hidden="false" customHeight="false" outlineLevel="0" collapsed="false">
      <c r="A7" s="7" t="s">
        <v>41</v>
      </c>
      <c r="B7" s="8" t="s">
        <v>30</v>
      </c>
      <c r="C7" s="8" t="s">
        <v>42</v>
      </c>
      <c r="D7" s="8" t="s">
        <v>43</v>
      </c>
      <c r="E7" s="9" t="s">
        <v>33</v>
      </c>
      <c r="F7" s="8" t="s">
        <v>34</v>
      </c>
      <c r="G7" s="10"/>
      <c r="H7" s="8"/>
      <c r="I7" s="8" t="s">
        <v>44</v>
      </c>
      <c r="J7" s="8"/>
      <c r="K7" s="8"/>
    </row>
    <row r="8" customFormat="false" ht="23.85" hidden="false" customHeight="false" outlineLevel="0" collapsed="false">
      <c r="A8" s="7" t="s">
        <v>45</v>
      </c>
      <c r="B8" s="8" t="s">
        <v>30</v>
      </c>
      <c r="C8" s="8" t="s">
        <v>46</v>
      </c>
      <c r="D8" s="8" t="s">
        <v>47</v>
      </c>
      <c r="E8" s="9" t="s">
        <v>33</v>
      </c>
      <c r="F8" s="8" t="s">
        <v>34</v>
      </c>
      <c r="G8" s="10"/>
      <c r="H8" s="8"/>
      <c r="I8" s="8" t="s">
        <v>48</v>
      </c>
      <c r="J8" s="8"/>
      <c r="K8" s="8"/>
    </row>
    <row r="9" customFormat="false" ht="15" hidden="false" customHeight="false" outlineLevel="0" collapsed="false">
      <c r="A9" s="7" t="s">
        <v>49</v>
      </c>
      <c r="B9" s="8" t="s">
        <v>30</v>
      </c>
      <c r="C9" s="8" t="s">
        <v>50</v>
      </c>
      <c r="D9" s="8" t="s">
        <v>51</v>
      </c>
      <c r="E9" s="9" t="s">
        <v>33</v>
      </c>
      <c r="F9" s="8" t="s">
        <v>34</v>
      </c>
      <c r="G9" s="10"/>
      <c r="H9" s="8"/>
      <c r="I9" s="8" t="s">
        <v>52</v>
      </c>
      <c r="J9" s="8"/>
      <c r="K9" s="8"/>
    </row>
    <row r="10" customFormat="false" ht="15" hidden="false" customHeight="false" outlineLevel="0" collapsed="false">
      <c r="A10" s="7" t="s">
        <v>53</v>
      </c>
      <c r="B10" s="8" t="s">
        <v>30</v>
      </c>
      <c r="C10" s="8" t="s">
        <v>54</v>
      </c>
      <c r="D10" s="8" t="s">
        <v>32</v>
      </c>
      <c r="E10" s="9" t="s">
        <v>33</v>
      </c>
      <c r="F10" s="8" t="s">
        <v>34</v>
      </c>
      <c r="G10" s="10"/>
      <c r="H10" s="8"/>
      <c r="I10" s="8" t="s">
        <v>55</v>
      </c>
      <c r="J10" s="8"/>
      <c r="K10" s="8"/>
    </row>
    <row r="11" customFormat="false" ht="46.25" hidden="false" customHeight="false" outlineLevel="0" collapsed="false">
      <c r="A11" s="7" t="s">
        <v>56</v>
      </c>
      <c r="B11" s="8" t="s">
        <v>57</v>
      </c>
      <c r="C11" s="8" t="s">
        <v>58</v>
      </c>
      <c r="D11" s="8" t="s">
        <v>32</v>
      </c>
      <c r="E11" s="11" t="s">
        <v>59</v>
      </c>
      <c r="F11" s="8" t="s">
        <v>34</v>
      </c>
      <c r="G11" s="10"/>
      <c r="H11" s="8"/>
      <c r="I11" s="8" t="s">
        <v>60</v>
      </c>
      <c r="J11" s="8" t="s">
        <v>61</v>
      </c>
      <c r="K11" s="8"/>
    </row>
    <row r="12" customFormat="false" ht="35.05" hidden="false" customHeight="false" outlineLevel="0" collapsed="false">
      <c r="A12" s="7" t="s">
        <v>62</v>
      </c>
      <c r="B12" s="8" t="s">
        <v>57</v>
      </c>
      <c r="C12" s="8" t="s">
        <v>63</v>
      </c>
      <c r="D12" s="8" t="s">
        <v>32</v>
      </c>
      <c r="E12" s="11" t="s">
        <v>59</v>
      </c>
      <c r="F12" s="8" t="s">
        <v>34</v>
      </c>
      <c r="G12" s="10"/>
      <c r="H12" s="8"/>
      <c r="I12" s="8" t="s">
        <v>64</v>
      </c>
      <c r="J12" s="8" t="s">
        <v>61</v>
      </c>
      <c r="K12" s="8"/>
    </row>
    <row r="13" customFormat="false" ht="35.05" hidden="false" customHeight="false" outlineLevel="0" collapsed="false">
      <c r="A13" s="7" t="s">
        <v>65</v>
      </c>
      <c r="B13" s="8" t="s">
        <v>57</v>
      </c>
      <c r="C13" s="8" t="s">
        <v>66</v>
      </c>
      <c r="D13" s="8" t="s">
        <v>32</v>
      </c>
      <c r="E13" s="11" t="s">
        <v>59</v>
      </c>
      <c r="F13" s="8" t="s">
        <v>34</v>
      </c>
      <c r="G13" s="10"/>
      <c r="H13" s="8"/>
      <c r="I13" s="8" t="s">
        <v>67</v>
      </c>
      <c r="J13" s="8" t="s">
        <v>61</v>
      </c>
      <c r="K13" s="8"/>
    </row>
    <row r="14" customFormat="false" ht="23.85" hidden="false" customHeight="false" outlineLevel="0" collapsed="false">
      <c r="A14" s="7" t="s">
        <v>68</v>
      </c>
      <c r="B14" s="8" t="s">
        <v>57</v>
      </c>
      <c r="C14" s="8" t="s">
        <v>69</v>
      </c>
      <c r="D14" s="8" t="s">
        <v>32</v>
      </c>
      <c r="E14" s="11" t="s">
        <v>59</v>
      </c>
      <c r="F14" s="8" t="s">
        <v>34</v>
      </c>
      <c r="G14" s="10"/>
      <c r="H14" s="8"/>
      <c r="I14" s="8" t="s">
        <v>70</v>
      </c>
      <c r="J14" s="8" t="s">
        <v>61</v>
      </c>
      <c r="K14" s="8"/>
    </row>
    <row r="15" customFormat="false" ht="23.85" hidden="false" customHeight="false" outlineLevel="0" collapsed="false">
      <c r="A15" s="7" t="s">
        <v>71</v>
      </c>
      <c r="B15" s="8" t="s">
        <v>57</v>
      </c>
      <c r="C15" s="8" t="s">
        <v>72</v>
      </c>
      <c r="D15" s="8" t="s">
        <v>73</v>
      </c>
      <c r="E15" s="11" t="s">
        <v>59</v>
      </c>
      <c r="F15" s="8" t="s">
        <v>34</v>
      </c>
      <c r="G15" s="10"/>
      <c r="H15" s="8"/>
      <c r="I15" s="8" t="s">
        <v>74</v>
      </c>
      <c r="J15" s="8" t="s">
        <v>61</v>
      </c>
      <c r="K15" s="8"/>
    </row>
    <row r="16" customFormat="false" ht="23.85" hidden="false" customHeight="false" outlineLevel="0" collapsed="false">
      <c r="A16" s="7" t="s">
        <v>75</v>
      </c>
      <c r="B16" s="8" t="s">
        <v>57</v>
      </c>
      <c r="C16" s="8" t="s">
        <v>76</v>
      </c>
      <c r="D16" s="8" t="s">
        <v>32</v>
      </c>
      <c r="E16" s="11" t="s">
        <v>59</v>
      </c>
      <c r="F16" s="8" t="s">
        <v>34</v>
      </c>
      <c r="G16" s="10"/>
      <c r="H16" s="8"/>
      <c r="I16" s="8" t="s">
        <v>77</v>
      </c>
      <c r="J16" s="8" t="s">
        <v>61</v>
      </c>
      <c r="K16" s="8"/>
    </row>
    <row r="17" customFormat="false" ht="23.85" hidden="false" customHeight="false" outlineLevel="0" collapsed="false">
      <c r="A17" s="7" t="s">
        <v>78</v>
      </c>
      <c r="B17" s="8" t="s">
        <v>79</v>
      </c>
      <c r="C17" s="8" t="s">
        <v>80</v>
      </c>
      <c r="D17" s="8" t="s">
        <v>43</v>
      </c>
      <c r="E17" s="11" t="s">
        <v>59</v>
      </c>
      <c r="F17" s="8" t="s">
        <v>34</v>
      </c>
      <c r="G17" s="10"/>
      <c r="H17" s="8"/>
      <c r="I17" s="8" t="s">
        <v>81</v>
      </c>
      <c r="J17" s="8" t="s">
        <v>82</v>
      </c>
      <c r="K17" s="8"/>
    </row>
    <row r="18" customFormat="false" ht="57.45" hidden="false" customHeight="false" outlineLevel="0" collapsed="false">
      <c r="A18" s="7" t="s">
        <v>83</v>
      </c>
      <c r="B18" s="8" t="s">
        <v>79</v>
      </c>
      <c r="C18" s="8" t="s">
        <v>84</v>
      </c>
      <c r="D18" s="8" t="s">
        <v>43</v>
      </c>
      <c r="E18" s="11" t="s">
        <v>59</v>
      </c>
      <c r="F18" s="8" t="s">
        <v>34</v>
      </c>
      <c r="G18" s="10"/>
      <c r="H18" s="3" t="s">
        <v>85</v>
      </c>
      <c r="I18" s="8" t="s">
        <v>86</v>
      </c>
      <c r="J18" s="8" t="s">
        <v>87</v>
      </c>
      <c r="K18" s="8"/>
    </row>
    <row r="19" customFormat="false" ht="46.25" hidden="false" customHeight="false" outlineLevel="0" collapsed="false">
      <c r="A19" s="7" t="s">
        <v>88</v>
      </c>
      <c r="B19" s="8" t="s">
        <v>79</v>
      </c>
      <c r="C19" s="8" t="s">
        <v>89</v>
      </c>
      <c r="D19" s="8" t="s">
        <v>43</v>
      </c>
      <c r="E19" s="11" t="s">
        <v>59</v>
      </c>
      <c r="F19" s="8" t="s">
        <v>34</v>
      </c>
      <c r="G19" s="10"/>
      <c r="H19" s="3" t="s">
        <v>90</v>
      </c>
      <c r="I19" s="8" t="s">
        <v>91</v>
      </c>
      <c r="J19" s="8" t="s">
        <v>92</v>
      </c>
      <c r="K19" s="8"/>
    </row>
    <row r="20" customFormat="false" ht="35.05" hidden="false" customHeight="false" outlineLevel="0" collapsed="false">
      <c r="A20" s="7" t="s">
        <v>93</v>
      </c>
      <c r="B20" s="8" t="s">
        <v>79</v>
      </c>
      <c r="C20" s="8" t="s">
        <v>94</v>
      </c>
      <c r="D20" s="8" t="s">
        <v>43</v>
      </c>
      <c r="E20" s="11" t="s">
        <v>59</v>
      </c>
      <c r="F20" s="8" t="s">
        <v>34</v>
      </c>
      <c r="G20" s="10"/>
      <c r="H20" s="8"/>
      <c r="I20" s="8" t="s">
        <v>95</v>
      </c>
      <c r="J20" s="8" t="s">
        <v>96</v>
      </c>
      <c r="K20" s="8"/>
    </row>
    <row r="21" customFormat="false" ht="23.85" hidden="false" customHeight="false" outlineLevel="0" collapsed="false">
      <c r="A21" s="7" t="s">
        <v>97</v>
      </c>
      <c r="B21" s="8" t="s">
        <v>79</v>
      </c>
      <c r="C21" s="8" t="s">
        <v>98</v>
      </c>
      <c r="D21" s="8" t="s">
        <v>43</v>
      </c>
      <c r="E21" s="11" t="s">
        <v>59</v>
      </c>
      <c r="F21" s="8" t="s">
        <v>34</v>
      </c>
      <c r="G21" s="10"/>
      <c r="H21" s="8"/>
      <c r="I21" s="8" t="s">
        <v>99</v>
      </c>
      <c r="J21" s="8" t="s">
        <v>100</v>
      </c>
      <c r="K21" s="8"/>
    </row>
    <row r="22" customFormat="false" ht="15" hidden="false" customHeight="false" outlineLevel="0" collapsed="false">
      <c r="A22" s="7" t="s">
        <v>101</v>
      </c>
      <c r="B22" s="8" t="s">
        <v>79</v>
      </c>
      <c r="C22" s="8" t="s">
        <v>102</v>
      </c>
      <c r="D22" s="8" t="s">
        <v>43</v>
      </c>
      <c r="E22" s="11" t="s">
        <v>59</v>
      </c>
      <c r="F22" s="8" t="s">
        <v>34</v>
      </c>
      <c r="G22" s="10"/>
      <c r="H22" s="8"/>
      <c r="I22" s="8" t="s">
        <v>103</v>
      </c>
      <c r="J22" s="8"/>
      <c r="K22" s="8"/>
    </row>
    <row r="23" customFormat="false" ht="46.25" hidden="false" customHeight="false" outlineLevel="0" collapsed="false">
      <c r="A23" s="7" t="s">
        <v>104</v>
      </c>
      <c r="B23" s="8" t="s">
        <v>105</v>
      </c>
      <c r="C23" s="8" t="s">
        <v>106</v>
      </c>
      <c r="D23" s="8" t="s">
        <v>47</v>
      </c>
      <c r="E23" s="11" t="s">
        <v>59</v>
      </c>
      <c r="F23" s="8" t="s">
        <v>34</v>
      </c>
      <c r="G23" s="10"/>
      <c r="H23" s="3" t="s">
        <v>107</v>
      </c>
      <c r="I23" s="8" t="s">
        <v>108</v>
      </c>
      <c r="J23" s="8" t="s">
        <v>96</v>
      </c>
      <c r="K23" s="8"/>
    </row>
    <row r="24" customFormat="false" ht="46.25" hidden="false" customHeight="false" outlineLevel="0" collapsed="false">
      <c r="A24" s="7" t="s">
        <v>109</v>
      </c>
      <c r="B24" s="8" t="s">
        <v>105</v>
      </c>
      <c r="C24" s="8" t="s">
        <v>110</v>
      </c>
      <c r="D24" s="8" t="s">
        <v>47</v>
      </c>
      <c r="E24" s="11" t="s">
        <v>59</v>
      </c>
      <c r="F24" s="8" t="s">
        <v>34</v>
      </c>
      <c r="G24" s="10"/>
      <c r="H24" s="3" t="s">
        <v>111</v>
      </c>
      <c r="I24" s="8" t="s">
        <v>112</v>
      </c>
      <c r="J24" s="8" t="s">
        <v>96</v>
      </c>
      <c r="K24" s="8"/>
    </row>
    <row r="25" customFormat="false" ht="23.85" hidden="false" customHeight="false" outlineLevel="0" collapsed="false">
      <c r="A25" s="7" t="s">
        <v>113</v>
      </c>
      <c r="B25" s="8" t="s">
        <v>105</v>
      </c>
      <c r="C25" s="8" t="s">
        <v>114</v>
      </c>
      <c r="D25" s="8" t="s">
        <v>47</v>
      </c>
      <c r="E25" s="11" t="s">
        <v>59</v>
      </c>
      <c r="F25" s="8" t="s">
        <v>34</v>
      </c>
      <c r="G25" s="10"/>
      <c r="H25" s="8"/>
      <c r="I25" s="8" t="s">
        <v>115</v>
      </c>
      <c r="J25" s="8"/>
      <c r="K25" s="8"/>
    </row>
    <row r="26" customFormat="false" ht="35.05" hidden="false" customHeight="false" outlineLevel="0" collapsed="false">
      <c r="A26" s="7" t="s">
        <v>116</v>
      </c>
      <c r="B26" s="8" t="s">
        <v>105</v>
      </c>
      <c r="C26" s="8" t="s">
        <v>117</v>
      </c>
      <c r="D26" s="8" t="s">
        <v>47</v>
      </c>
      <c r="E26" s="11" t="s">
        <v>59</v>
      </c>
      <c r="F26" s="8" t="s">
        <v>34</v>
      </c>
      <c r="G26" s="10"/>
      <c r="H26" s="8"/>
      <c r="I26" s="8" t="s">
        <v>118</v>
      </c>
      <c r="J26" s="8" t="s">
        <v>92</v>
      </c>
      <c r="K26" s="8"/>
    </row>
    <row r="27" customFormat="false" ht="15" hidden="false" customHeight="false" outlineLevel="0" collapsed="false">
      <c r="A27" s="7" t="s">
        <v>119</v>
      </c>
      <c r="B27" s="8" t="s">
        <v>105</v>
      </c>
      <c r="C27" s="8" t="s">
        <v>120</v>
      </c>
      <c r="D27" s="8" t="s">
        <v>47</v>
      </c>
      <c r="E27" s="11" t="s">
        <v>59</v>
      </c>
      <c r="F27" s="8" t="s">
        <v>34</v>
      </c>
      <c r="G27" s="10"/>
      <c r="H27" s="8"/>
      <c r="I27" s="8" t="s">
        <v>121</v>
      </c>
      <c r="J27" s="8" t="s">
        <v>92</v>
      </c>
      <c r="K27" s="8"/>
    </row>
    <row r="28" customFormat="false" ht="15" hidden="false" customHeight="false" outlineLevel="0" collapsed="false">
      <c r="A28" s="7" t="s">
        <v>122</v>
      </c>
      <c r="B28" s="8" t="s">
        <v>105</v>
      </c>
      <c r="C28" s="8" t="s">
        <v>123</v>
      </c>
      <c r="D28" s="8" t="s">
        <v>47</v>
      </c>
      <c r="E28" s="11" t="s">
        <v>59</v>
      </c>
      <c r="F28" s="8" t="s">
        <v>34</v>
      </c>
      <c r="G28" s="10"/>
      <c r="H28" s="8"/>
      <c r="I28" s="8" t="s">
        <v>124</v>
      </c>
      <c r="J28" s="8"/>
      <c r="K28" s="8"/>
    </row>
    <row r="29" customFormat="false" ht="15" hidden="false" customHeight="false" outlineLevel="0" collapsed="false">
      <c r="A29" s="7" t="s">
        <v>125</v>
      </c>
      <c r="B29" s="8" t="s">
        <v>105</v>
      </c>
      <c r="C29" s="8" t="s">
        <v>126</v>
      </c>
      <c r="D29" s="8" t="s">
        <v>47</v>
      </c>
      <c r="E29" s="11" t="s">
        <v>59</v>
      </c>
      <c r="F29" s="8" t="s">
        <v>34</v>
      </c>
      <c r="G29" s="10"/>
      <c r="H29" s="8"/>
      <c r="I29" s="8" t="s">
        <v>127</v>
      </c>
      <c r="J29" s="8"/>
      <c r="K29" s="8"/>
    </row>
    <row r="30" customFormat="false" ht="35.05" hidden="false" customHeight="false" outlineLevel="0" collapsed="false">
      <c r="A30" s="7" t="s">
        <v>128</v>
      </c>
      <c r="B30" s="8" t="s">
        <v>105</v>
      </c>
      <c r="C30" s="8" t="s">
        <v>129</v>
      </c>
      <c r="D30" s="8" t="s">
        <v>47</v>
      </c>
      <c r="E30" s="11" t="s">
        <v>59</v>
      </c>
      <c r="F30" s="8" t="s">
        <v>34</v>
      </c>
      <c r="G30" s="10"/>
      <c r="H30" s="8"/>
      <c r="I30" s="8" t="s">
        <v>130</v>
      </c>
      <c r="J30" s="8" t="s">
        <v>131</v>
      </c>
      <c r="K30" s="8"/>
    </row>
    <row r="31" customFormat="false" ht="15" hidden="false" customHeight="false" outlineLevel="0" collapsed="false">
      <c r="A31" s="7" t="s">
        <v>132</v>
      </c>
      <c r="B31" s="8" t="s">
        <v>133</v>
      </c>
      <c r="C31" s="8" t="s">
        <v>134</v>
      </c>
      <c r="D31" s="8" t="s">
        <v>43</v>
      </c>
      <c r="E31" s="11" t="s">
        <v>59</v>
      </c>
      <c r="F31" s="8" t="s">
        <v>34</v>
      </c>
      <c r="G31" s="10"/>
      <c r="H31" s="8"/>
      <c r="I31" s="8" t="s">
        <v>135</v>
      </c>
      <c r="J31" s="8"/>
      <c r="K31" s="8"/>
    </row>
    <row r="32" customFormat="false" ht="23.85" hidden="false" customHeight="false" outlineLevel="0" collapsed="false">
      <c r="A32" s="7" t="s">
        <v>136</v>
      </c>
      <c r="B32" s="8" t="s">
        <v>133</v>
      </c>
      <c r="C32" s="8" t="s">
        <v>137</v>
      </c>
      <c r="D32" s="8" t="s">
        <v>43</v>
      </c>
      <c r="E32" s="11" t="s">
        <v>59</v>
      </c>
      <c r="F32" s="8" t="s">
        <v>34</v>
      </c>
      <c r="G32" s="10"/>
      <c r="H32" s="8"/>
      <c r="I32" s="8" t="s">
        <v>138</v>
      </c>
      <c r="J32" s="8"/>
      <c r="K32" s="8"/>
    </row>
    <row r="33" customFormat="false" ht="15" hidden="false" customHeight="false" outlineLevel="0" collapsed="false">
      <c r="A33" s="7" t="s">
        <v>139</v>
      </c>
      <c r="B33" s="8" t="s">
        <v>133</v>
      </c>
      <c r="C33" s="8" t="s">
        <v>140</v>
      </c>
      <c r="D33" s="8" t="s">
        <v>43</v>
      </c>
      <c r="E33" s="11" t="s">
        <v>59</v>
      </c>
      <c r="F33" s="8" t="s">
        <v>34</v>
      </c>
      <c r="G33" s="10"/>
      <c r="H33" s="8"/>
      <c r="I33" s="8" t="s">
        <v>141</v>
      </c>
      <c r="J33" s="8" t="s">
        <v>142</v>
      </c>
      <c r="K33" s="8"/>
    </row>
    <row r="34" customFormat="false" ht="15" hidden="false" customHeight="false" outlineLevel="0" collapsed="false">
      <c r="A34" s="7" t="s">
        <v>143</v>
      </c>
      <c r="B34" s="8" t="s">
        <v>133</v>
      </c>
      <c r="C34" s="8" t="s">
        <v>144</v>
      </c>
      <c r="D34" s="8" t="s">
        <v>43</v>
      </c>
      <c r="E34" s="11" t="s">
        <v>59</v>
      </c>
      <c r="F34" s="8" t="s">
        <v>34</v>
      </c>
      <c r="G34" s="10"/>
      <c r="H34" s="8"/>
      <c r="I34" s="8" t="s">
        <v>145</v>
      </c>
      <c r="J34" s="8"/>
      <c r="K34" s="8"/>
    </row>
    <row r="35" customFormat="false" ht="15" hidden="false" customHeight="false" outlineLevel="0" collapsed="false">
      <c r="A35" s="7" t="s">
        <v>146</v>
      </c>
      <c r="B35" s="8" t="s">
        <v>133</v>
      </c>
      <c r="C35" s="8" t="s">
        <v>147</v>
      </c>
      <c r="D35" s="8" t="s">
        <v>43</v>
      </c>
      <c r="E35" s="11" t="s">
        <v>59</v>
      </c>
      <c r="F35" s="8" t="s">
        <v>34</v>
      </c>
      <c r="G35" s="10"/>
      <c r="H35" s="8"/>
      <c r="I35" s="8" t="s">
        <v>148</v>
      </c>
      <c r="J35" s="8"/>
      <c r="K35" s="8"/>
    </row>
    <row r="36" customFormat="false" ht="23.85" hidden="false" customHeight="false" outlineLevel="0" collapsed="false">
      <c r="A36" s="7" t="s">
        <v>149</v>
      </c>
      <c r="B36" s="8" t="s">
        <v>133</v>
      </c>
      <c r="C36" s="8" t="s">
        <v>150</v>
      </c>
      <c r="D36" s="8" t="s">
        <v>43</v>
      </c>
      <c r="E36" s="11" t="s">
        <v>59</v>
      </c>
      <c r="F36" s="8" t="s">
        <v>34</v>
      </c>
      <c r="G36" s="10"/>
      <c r="H36" s="8"/>
      <c r="I36" s="8" t="s">
        <v>151</v>
      </c>
      <c r="J36" s="8"/>
      <c r="K36" s="8"/>
    </row>
    <row r="37" customFormat="false" ht="15" hidden="false" customHeight="false" outlineLevel="0" collapsed="false">
      <c r="A37" s="7" t="s">
        <v>152</v>
      </c>
      <c r="B37" s="8" t="s">
        <v>153</v>
      </c>
      <c r="C37" s="8" t="s">
        <v>154</v>
      </c>
      <c r="D37" s="8" t="s">
        <v>43</v>
      </c>
      <c r="E37" s="11" t="s">
        <v>59</v>
      </c>
      <c r="F37" s="8" t="s">
        <v>155</v>
      </c>
      <c r="G37" s="10"/>
      <c r="H37" s="8"/>
      <c r="I37" s="8" t="s">
        <v>156</v>
      </c>
      <c r="J37" s="8" t="s">
        <v>157</v>
      </c>
      <c r="K37" s="8"/>
    </row>
    <row r="38" customFormat="false" ht="15" hidden="false" customHeight="false" outlineLevel="0" collapsed="false">
      <c r="A38" s="7" t="s">
        <v>158</v>
      </c>
      <c r="B38" s="8" t="s">
        <v>153</v>
      </c>
      <c r="C38" s="8" t="s">
        <v>159</v>
      </c>
      <c r="D38" s="8" t="s">
        <v>43</v>
      </c>
      <c r="E38" s="11" t="s">
        <v>59</v>
      </c>
      <c r="F38" s="8" t="s">
        <v>155</v>
      </c>
      <c r="G38" s="10"/>
      <c r="H38" s="8"/>
      <c r="I38" s="8" t="s">
        <v>160</v>
      </c>
      <c r="J38" s="8" t="s">
        <v>161</v>
      </c>
      <c r="K38" s="8"/>
    </row>
    <row r="39" customFormat="false" ht="23.85" hidden="false" customHeight="false" outlineLevel="0" collapsed="false">
      <c r="A39" s="7" t="s">
        <v>162</v>
      </c>
      <c r="B39" s="8" t="s">
        <v>153</v>
      </c>
      <c r="C39" s="8" t="s">
        <v>163</v>
      </c>
      <c r="D39" s="8" t="s">
        <v>164</v>
      </c>
      <c r="E39" s="11" t="s">
        <v>59</v>
      </c>
      <c r="F39" s="8" t="s">
        <v>165</v>
      </c>
      <c r="G39" s="10"/>
      <c r="H39" s="8"/>
      <c r="I39" s="8" t="s">
        <v>166</v>
      </c>
      <c r="J39" s="8" t="s">
        <v>161</v>
      </c>
      <c r="K39" s="8"/>
    </row>
    <row r="40" customFormat="false" ht="15" hidden="false" customHeight="false" outlineLevel="0" collapsed="false">
      <c r="A40" s="7" t="s">
        <v>167</v>
      </c>
      <c r="B40" s="8" t="s">
        <v>153</v>
      </c>
      <c r="C40" s="8" t="s">
        <v>168</v>
      </c>
      <c r="D40" s="8" t="s">
        <v>164</v>
      </c>
      <c r="E40" s="11" t="s">
        <v>59</v>
      </c>
      <c r="F40" s="8" t="s">
        <v>169</v>
      </c>
      <c r="G40" s="10"/>
      <c r="H40" s="8"/>
      <c r="I40" s="8" t="s">
        <v>170</v>
      </c>
      <c r="J40" s="8"/>
      <c r="K40" s="8"/>
    </row>
    <row r="41" customFormat="false" ht="23.85" hidden="false" customHeight="false" outlineLevel="0" collapsed="false">
      <c r="A41" s="7" t="s">
        <v>171</v>
      </c>
      <c r="B41" s="8" t="s">
        <v>172</v>
      </c>
      <c r="C41" s="8" t="s">
        <v>173</v>
      </c>
      <c r="D41" s="8" t="s">
        <v>47</v>
      </c>
      <c r="E41" s="11" t="s">
        <v>59</v>
      </c>
      <c r="F41" s="8" t="s">
        <v>34</v>
      </c>
      <c r="G41" s="10"/>
      <c r="H41" s="8"/>
      <c r="I41" s="8" t="s">
        <v>174</v>
      </c>
      <c r="J41" s="8"/>
      <c r="K41" s="8"/>
    </row>
    <row r="42" customFormat="false" ht="35.05" hidden="false" customHeight="false" outlineLevel="0" collapsed="false">
      <c r="A42" s="7" t="s">
        <v>175</v>
      </c>
      <c r="B42" s="8" t="s">
        <v>172</v>
      </c>
      <c r="C42" s="8" t="s">
        <v>176</v>
      </c>
      <c r="D42" s="8" t="s">
        <v>47</v>
      </c>
      <c r="E42" s="11" t="s">
        <v>59</v>
      </c>
      <c r="F42" s="8" t="s">
        <v>34</v>
      </c>
      <c r="G42" s="10"/>
      <c r="H42" s="8"/>
      <c r="I42" s="8" t="s">
        <v>177</v>
      </c>
      <c r="J42" s="8"/>
      <c r="K42" s="8"/>
    </row>
    <row r="43" customFormat="false" ht="15" hidden="false" customHeight="false" outlineLevel="0" collapsed="false">
      <c r="A43" s="7" t="s">
        <v>178</v>
      </c>
      <c r="B43" s="8" t="s">
        <v>172</v>
      </c>
      <c r="C43" s="8" t="s">
        <v>179</v>
      </c>
      <c r="D43" s="8" t="s">
        <v>47</v>
      </c>
      <c r="E43" s="11" t="s">
        <v>59</v>
      </c>
      <c r="F43" s="8" t="s">
        <v>34</v>
      </c>
      <c r="G43" s="10"/>
      <c r="H43" s="8"/>
      <c r="I43" s="8" t="s">
        <v>180</v>
      </c>
      <c r="J43" s="8"/>
      <c r="K43" s="8"/>
    </row>
    <row r="44" customFormat="false" ht="15" hidden="false" customHeight="false" outlineLevel="0" collapsed="false">
      <c r="A44" s="7" t="s">
        <v>181</v>
      </c>
      <c r="B44" s="8" t="s">
        <v>172</v>
      </c>
      <c r="C44" s="8" t="s">
        <v>182</v>
      </c>
      <c r="D44" s="8" t="s">
        <v>47</v>
      </c>
      <c r="E44" s="11" t="s">
        <v>59</v>
      </c>
      <c r="F44" s="8" t="s">
        <v>34</v>
      </c>
      <c r="G44" s="10"/>
      <c r="H44" s="8"/>
      <c r="I44" s="8" t="s">
        <v>183</v>
      </c>
      <c r="J44" s="8"/>
      <c r="K44" s="8"/>
    </row>
    <row r="45" customFormat="false" ht="15" hidden="false" customHeight="false" outlineLevel="0" collapsed="false">
      <c r="A45" s="7" t="s">
        <v>184</v>
      </c>
      <c r="B45" s="8" t="s">
        <v>172</v>
      </c>
      <c r="C45" s="8" t="s">
        <v>185</v>
      </c>
      <c r="D45" s="8" t="s">
        <v>47</v>
      </c>
      <c r="E45" s="11" t="s">
        <v>59</v>
      </c>
      <c r="F45" s="8" t="s">
        <v>34</v>
      </c>
      <c r="G45" s="10"/>
      <c r="H45" s="8"/>
      <c r="I45" s="8" t="s">
        <v>186</v>
      </c>
      <c r="J45" s="8"/>
      <c r="K45" s="8"/>
    </row>
    <row r="46" customFormat="false" ht="15" hidden="false" customHeight="false" outlineLevel="0" collapsed="false">
      <c r="A46" s="7" t="s">
        <v>187</v>
      </c>
      <c r="B46" s="8" t="s">
        <v>172</v>
      </c>
      <c r="C46" s="8" t="s">
        <v>188</v>
      </c>
      <c r="D46" s="8" t="s">
        <v>47</v>
      </c>
      <c r="E46" s="11" t="s">
        <v>59</v>
      </c>
      <c r="F46" s="8" t="s">
        <v>34</v>
      </c>
      <c r="G46" s="10"/>
      <c r="H46" s="8"/>
      <c r="I46" s="8" t="s">
        <v>189</v>
      </c>
      <c r="J46" s="8"/>
      <c r="K46" s="8"/>
    </row>
    <row r="47" customFormat="false" ht="68.65" hidden="false" customHeight="false" outlineLevel="0" collapsed="false">
      <c r="A47" s="7" t="s">
        <v>190</v>
      </c>
      <c r="B47" s="8" t="s">
        <v>191</v>
      </c>
      <c r="C47" s="8" t="s">
        <v>192</v>
      </c>
      <c r="D47" s="8" t="s">
        <v>43</v>
      </c>
      <c r="E47" s="11" t="s">
        <v>59</v>
      </c>
      <c r="F47" s="8" t="s">
        <v>193</v>
      </c>
      <c r="G47" s="10"/>
      <c r="H47" s="8"/>
      <c r="I47" s="8" t="s">
        <v>194</v>
      </c>
      <c r="J47" s="8"/>
      <c r="K47" s="8"/>
    </row>
    <row r="48" customFormat="false" ht="23.85" hidden="false" customHeight="false" outlineLevel="0" collapsed="false">
      <c r="A48" s="7" t="s">
        <v>195</v>
      </c>
      <c r="B48" s="8" t="s">
        <v>191</v>
      </c>
      <c r="C48" s="8" t="s">
        <v>196</v>
      </c>
      <c r="D48" s="8" t="s">
        <v>43</v>
      </c>
      <c r="E48" s="11" t="s">
        <v>59</v>
      </c>
      <c r="F48" s="8" t="s">
        <v>193</v>
      </c>
      <c r="G48" s="10"/>
      <c r="H48" s="8"/>
      <c r="I48" s="8" t="s">
        <v>197</v>
      </c>
      <c r="J48" s="8"/>
      <c r="K48" s="8"/>
    </row>
    <row r="49" customFormat="false" ht="15" hidden="false" customHeight="false" outlineLevel="0" collapsed="false">
      <c r="A49" s="7" t="s">
        <v>198</v>
      </c>
      <c r="B49" s="8" t="s">
        <v>191</v>
      </c>
      <c r="C49" s="8" t="s">
        <v>199</v>
      </c>
      <c r="D49" s="8" t="s">
        <v>43</v>
      </c>
      <c r="E49" s="11" t="s">
        <v>59</v>
      </c>
      <c r="F49" s="8" t="s">
        <v>193</v>
      </c>
      <c r="G49" s="10"/>
      <c r="H49" s="8"/>
      <c r="I49" s="8" t="s">
        <v>200</v>
      </c>
      <c r="J49" s="8"/>
      <c r="K49" s="8"/>
    </row>
  </sheetData>
  <autoFilter ref="A4:K49"/>
  <mergeCells count="1">
    <mergeCell ref="A2:K2"/>
  </mergeCells>
  <conditionalFormatting sqref="F5:F49">
    <cfRule type="cellIs" priority="2" operator="equal" aboveAverage="0" equalAverage="0" bottom="0" percent="0" rank="0" text="" dxfId="8">
      <formula>"Done"</formula>
    </cfRule>
    <cfRule type="cellIs" priority="3" operator="equal" aboveAverage="0" equalAverage="0" bottom="0" percent="0" rank="0" text="" dxfId="9">
      <formula>"In progress"</formula>
    </cfRule>
    <cfRule type="cellIs" priority="4" operator="equal" aboveAverage="0" equalAverage="0" bottom="0" percent="0" rank="0" text="" dxfId="10">
      <formula>"Parked"</formula>
    </cfRule>
    <cfRule type="cellIs" priority="5" operator="equal" aboveAverage="0" equalAverage="0" bottom="0" percent="0" rank="0" text="" dxfId="11">
      <formula>"Blocked"</formula>
    </cfRule>
  </conditionalFormatting>
  <dataValidations count="2">
    <dataValidation allowBlank="true" error="Pick one of the listed statuses." errorStyle="stop" operator="between" prompt="Not started, In progress, Waiting on someone, Blocked, Done, Parked" showDropDown="false" showErrorMessage="false" showInputMessage="false" sqref="F5:F49" type="list">
      <formula1>"Not started,In progress,Waiting on someone,Blocked,Done,Parked"</formula1>
      <formula2>0</formula2>
    </dataValidation>
    <dataValidation allowBlank="true" errorStyle="stop" operator="between" showDropDown="false" showErrorMessage="false" showInputMessage="false" sqref="D5:D49" type="list">
      <formula1>"Allan,Lawyer,Claude,Allan + lawyer,Lawyer + Claude,Allan + Claude"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9" min="2" style="0" width="16"/>
  </cols>
  <sheetData>
    <row r="1" customFormat="false" ht="19.7" hidden="false" customHeight="false" outlineLevel="0" collapsed="false">
      <c r="A1" s="1" t="s">
        <v>201</v>
      </c>
    </row>
    <row r="2" customFormat="false" ht="15" hidden="false" customHeight="false" outlineLevel="0" collapsed="false">
      <c r="A2" s="12" t="s">
        <v>202</v>
      </c>
    </row>
    <row r="4" customFormat="false" ht="30" hidden="false" customHeight="true" outlineLevel="0" collapsed="false">
      <c r="A4" s="6" t="s">
        <v>19</v>
      </c>
      <c r="B4" s="6" t="s">
        <v>34</v>
      </c>
      <c r="C4" s="6" t="s">
        <v>155</v>
      </c>
      <c r="D4" s="6" t="s">
        <v>169</v>
      </c>
      <c r="E4" s="6" t="s">
        <v>203</v>
      </c>
      <c r="F4" s="6" t="s">
        <v>165</v>
      </c>
      <c r="G4" s="6" t="s">
        <v>193</v>
      </c>
      <c r="H4" s="6" t="s">
        <v>204</v>
      </c>
    </row>
    <row r="5" customFormat="false" ht="15" hidden="false" customHeight="false" outlineLevel="0" collapsed="false">
      <c r="A5" s="13" t="s">
        <v>30</v>
      </c>
      <c r="B5" s="14" t="n">
        <f aca="false">COUNTIFS('Open items'!$B$5:$B$49,$A5,'Open items'!$F$5:$F$49,B$4)</f>
        <v>6</v>
      </c>
      <c r="C5" s="14" t="n">
        <f aca="false">COUNTIFS('Open items'!$B$5:$B$49,$A5,'Open items'!$F$5:$F$49,C$4)</f>
        <v>0</v>
      </c>
      <c r="D5" s="14" t="n">
        <f aca="false">COUNTIFS('Open items'!$B$5:$B$49,$A5,'Open items'!$F$5:$F$49,D$4)</f>
        <v>0</v>
      </c>
      <c r="E5" s="14" t="n">
        <f aca="false">COUNTIFS('Open items'!$B$5:$B$49,$A5,'Open items'!$F$5:$F$49,E$4)</f>
        <v>0</v>
      </c>
      <c r="F5" s="14" t="n">
        <f aca="false">COUNTIFS('Open items'!$B$5:$B$49,$A5,'Open items'!$F$5:$F$49,F$4)</f>
        <v>0</v>
      </c>
      <c r="G5" s="14" t="n">
        <f aca="false">COUNTIFS('Open items'!$B$5:$B$49,$A5,'Open items'!$F$5:$F$49,G$4)</f>
        <v>0</v>
      </c>
      <c r="H5" s="15" t="n">
        <f aca="false">SUM(B5:G5)</f>
        <v>6</v>
      </c>
    </row>
    <row r="6" customFormat="false" ht="15" hidden="false" customHeight="false" outlineLevel="0" collapsed="false">
      <c r="A6" s="13" t="s">
        <v>57</v>
      </c>
      <c r="B6" s="14" t="n">
        <f aca="false">COUNTIFS('Open items'!$B$5:$B$49,$A6,'Open items'!$F$5:$F$49,B$4)</f>
        <v>6</v>
      </c>
      <c r="C6" s="14" t="n">
        <f aca="false">COUNTIFS('Open items'!$B$5:$B$49,$A6,'Open items'!$F$5:$F$49,C$4)</f>
        <v>0</v>
      </c>
      <c r="D6" s="14" t="n">
        <f aca="false">COUNTIFS('Open items'!$B$5:$B$49,$A6,'Open items'!$F$5:$F$49,D$4)</f>
        <v>0</v>
      </c>
      <c r="E6" s="14" t="n">
        <f aca="false">COUNTIFS('Open items'!$B$5:$B$49,$A6,'Open items'!$F$5:$F$49,E$4)</f>
        <v>0</v>
      </c>
      <c r="F6" s="14" t="n">
        <f aca="false">COUNTIFS('Open items'!$B$5:$B$49,$A6,'Open items'!$F$5:$F$49,F$4)</f>
        <v>0</v>
      </c>
      <c r="G6" s="14" t="n">
        <f aca="false">COUNTIFS('Open items'!$B$5:$B$49,$A6,'Open items'!$F$5:$F$49,G$4)</f>
        <v>0</v>
      </c>
      <c r="H6" s="15" t="n">
        <f aca="false">SUM(B6:G6)</f>
        <v>6</v>
      </c>
    </row>
    <row r="7" customFormat="false" ht="15" hidden="false" customHeight="false" outlineLevel="0" collapsed="false">
      <c r="A7" s="13" t="s">
        <v>79</v>
      </c>
      <c r="B7" s="14" t="n">
        <f aca="false">COUNTIFS('Open items'!$B$5:$B$49,$A7,'Open items'!$F$5:$F$49,B$4)</f>
        <v>6</v>
      </c>
      <c r="C7" s="14" t="n">
        <f aca="false">COUNTIFS('Open items'!$B$5:$B$49,$A7,'Open items'!$F$5:$F$49,C$4)</f>
        <v>0</v>
      </c>
      <c r="D7" s="14" t="n">
        <f aca="false">COUNTIFS('Open items'!$B$5:$B$49,$A7,'Open items'!$F$5:$F$49,D$4)</f>
        <v>0</v>
      </c>
      <c r="E7" s="14" t="n">
        <f aca="false">COUNTIFS('Open items'!$B$5:$B$49,$A7,'Open items'!$F$5:$F$49,E$4)</f>
        <v>0</v>
      </c>
      <c r="F7" s="14" t="n">
        <f aca="false">COUNTIFS('Open items'!$B$5:$B$49,$A7,'Open items'!$F$5:$F$49,F$4)</f>
        <v>0</v>
      </c>
      <c r="G7" s="14" t="n">
        <f aca="false">COUNTIFS('Open items'!$B$5:$B$49,$A7,'Open items'!$F$5:$F$49,G$4)</f>
        <v>0</v>
      </c>
      <c r="H7" s="15" t="n">
        <f aca="false">SUM(B7:G7)</f>
        <v>6</v>
      </c>
    </row>
    <row r="8" customFormat="false" ht="15" hidden="false" customHeight="false" outlineLevel="0" collapsed="false">
      <c r="A8" s="13" t="s">
        <v>105</v>
      </c>
      <c r="B8" s="14" t="n">
        <f aca="false">COUNTIFS('Open items'!$B$5:$B$49,$A8,'Open items'!$F$5:$F$49,B$4)</f>
        <v>8</v>
      </c>
      <c r="C8" s="14" t="n">
        <f aca="false">COUNTIFS('Open items'!$B$5:$B$49,$A8,'Open items'!$F$5:$F$49,C$4)</f>
        <v>0</v>
      </c>
      <c r="D8" s="14" t="n">
        <f aca="false">COUNTIFS('Open items'!$B$5:$B$49,$A8,'Open items'!$F$5:$F$49,D$4)</f>
        <v>0</v>
      </c>
      <c r="E8" s="14" t="n">
        <f aca="false">COUNTIFS('Open items'!$B$5:$B$49,$A8,'Open items'!$F$5:$F$49,E$4)</f>
        <v>0</v>
      </c>
      <c r="F8" s="14" t="n">
        <f aca="false">COUNTIFS('Open items'!$B$5:$B$49,$A8,'Open items'!$F$5:$F$49,F$4)</f>
        <v>0</v>
      </c>
      <c r="G8" s="14" t="n">
        <f aca="false">COUNTIFS('Open items'!$B$5:$B$49,$A8,'Open items'!$F$5:$F$49,G$4)</f>
        <v>0</v>
      </c>
      <c r="H8" s="15" t="n">
        <f aca="false">SUM(B8:G8)</f>
        <v>8</v>
      </c>
    </row>
    <row r="9" customFormat="false" ht="15" hidden="false" customHeight="false" outlineLevel="0" collapsed="false">
      <c r="A9" s="13" t="s">
        <v>133</v>
      </c>
      <c r="B9" s="14" t="n">
        <f aca="false">COUNTIFS('Open items'!$B$5:$B$49,$A9,'Open items'!$F$5:$F$49,B$4)</f>
        <v>6</v>
      </c>
      <c r="C9" s="14" t="n">
        <f aca="false">COUNTIFS('Open items'!$B$5:$B$49,$A9,'Open items'!$F$5:$F$49,C$4)</f>
        <v>0</v>
      </c>
      <c r="D9" s="14" t="n">
        <f aca="false">COUNTIFS('Open items'!$B$5:$B$49,$A9,'Open items'!$F$5:$F$49,D$4)</f>
        <v>0</v>
      </c>
      <c r="E9" s="14" t="n">
        <f aca="false">COUNTIFS('Open items'!$B$5:$B$49,$A9,'Open items'!$F$5:$F$49,E$4)</f>
        <v>0</v>
      </c>
      <c r="F9" s="14" t="n">
        <f aca="false">COUNTIFS('Open items'!$B$5:$B$49,$A9,'Open items'!$F$5:$F$49,F$4)</f>
        <v>0</v>
      </c>
      <c r="G9" s="14" t="n">
        <f aca="false">COUNTIFS('Open items'!$B$5:$B$49,$A9,'Open items'!$F$5:$F$49,G$4)</f>
        <v>0</v>
      </c>
      <c r="H9" s="15" t="n">
        <f aca="false">SUM(B9:G9)</f>
        <v>6</v>
      </c>
    </row>
    <row r="10" customFormat="false" ht="15" hidden="false" customHeight="false" outlineLevel="0" collapsed="false">
      <c r="A10" s="13" t="s">
        <v>153</v>
      </c>
      <c r="B10" s="14" t="n">
        <f aca="false">COUNTIFS('Open items'!$B$5:$B$49,$A10,'Open items'!$F$5:$F$49,B$4)</f>
        <v>0</v>
      </c>
      <c r="C10" s="14" t="n">
        <f aca="false">COUNTIFS('Open items'!$B$5:$B$49,$A10,'Open items'!$F$5:$F$49,C$4)</f>
        <v>2</v>
      </c>
      <c r="D10" s="14" t="n">
        <f aca="false">COUNTIFS('Open items'!$B$5:$B$49,$A10,'Open items'!$F$5:$F$49,D$4)</f>
        <v>1</v>
      </c>
      <c r="E10" s="14" t="n">
        <f aca="false">COUNTIFS('Open items'!$B$5:$B$49,$A10,'Open items'!$F$5:$F$49,E$4)</f>
        <v>0</v>
      </c>
      <c r="F10" s="14" t="n">
        <f aca="false">COUNTIFS('Open items'!$B$5:$B$49,$A10,'Open items'!$F$5:$F$49,F$4)</f>
        <v>1</v>
      </c>
      <c r="G10" s="14" t="n">
        <f aca="false">COUNTIFS('Open items'!$B$5:$B$49,$A10,'Open items'!$F$5:$F$49,G$4)</f>
        <v>0</v>
      </c>
      <c r="H10" s="15" t="n">
        <f aca="false">SUM(B10:G10)</f>
        <v>4</v>
      </c>
    </row>
    <row r="11" customFormat="false" ht="15" hidden="false" customHeight="false" outlineLevel="0" collapsed="false">
      <c r="A11" s="13" t="s">
        <v>172</v>
      </c>
      <c r="B11" s="14" t="n">
        <f aca="false">COUNTIFS('Open items'!$B$5:$B$49,$A11,'Open items'!$F$5:$F$49,B$4)</f>
        <v>6</v>
      </c>
      <c r="C11" s="14" t="n">
        <f aca="false">COUNTIFS('Open items'!$B$5:$B$49,$A11,'Open items'!$F$5:$F$49,C$4)</f>
        <v>0</v>
      </c>
      <c r="D11" s="14" t="n">
        <f aca="false">COUNTIFS('Open items'!$B$5:$B$49,$A11,'Open items'!$F$5:$F$49,D$4)</f>
        <v>0</v>
      </c>
      <c r="E11" s="14" t="n">
        <f aca="false">COUNTIFS('Open items'!$B$5:$B$49,$A11,'Open items'!$F$5:$F$49,E$4)</f>
        <v>0</v>
      </c>
      <c r="F11" s="14" t="n">
        <f aca="false">COUNTIFS('Open items'!$B$5:$B$49,$A11,'Open items'!$F$5:$F$49,F$4)</f>
        <v>0</v>
      </c>
      <c r="G11" s="14" t="n">
        <f aca="false">COUNTIFS('Open items'!$B$5:$B$49,$A11,'Open items'!$F$5:$F$49,G$4)</f>
        <v>0</v>
      </c>
      <c r="H11" s="15" t="n">
        <f aca="false">SUM(B11:G11)</f>
        <v>6</v>
      </c>
    </row>
    <row r="12" customFormat="false" ht="15" hidden="false" customHeight="false" outlineLevel="0" collapsed="false">
      <c r="A12" s="13" t="s">
        <v>191</v>
      </c>
      <c r="B12" s="14" t="n">
        <f aca="false">COUNTIFS('Open items'!$B$5:$B$49,$A12,'Open items'!$F$5:$F$49,B$4)</f>
        <v>0</v>
      </c>
      <c r="C12" s="14" t="n">
        <f aca="false">COUNTIFS('Open items'!$B$5:$B$49,$A12,'Open items'!$F$5:$F$49,C$4)</f>
        <v>0</v>
      </c>
      <c r="D12" s="14" t="n">
        <f aca="false">COUNTIFS('Open items'!$B$5:$B$49,$A12,'Open items'!$F$5:$F$49,D$4)</f>
        <v>0</v>
      </c>
      <c r="E12" s="14" t="n">
        <f aca="false">COUNTIFS('Open items'!$B$5:$B$49,$A12,'Open items'!$F$5:$F$49,E$4)</f>
        <v>0</v>
      </c>
      <c r="F12" s="14" t="n">
        <f aca="false">COUNTIFS('Open items'!$B$5:$B$49,$A12,'Open items'!$F$5:$F$49,F$4)</f>
        <v>0</v>
      </c>
      <c r="G12" s="14" t="n">
        <f aca="false">COUNTIFS('Open items'!$B$5:$B$49,$A12,'Open items'!$F$5:$F$49,G$4)</f>
        <v>3</v>
      </c>
      <c r="H12" s="15" t="n">
        <f aca="false">SUM(B12:G12)</f>
        <v>3</v>
      </c>
    </row>
    <row r="13" customFormat="false" ht="15" hidden="false" customHeight="false" outlineLevel="0" collapsed="false">
      <c r="A13" s="16" t="s">
        <v>205</v>
      </c>
      <c r="B13" s="17" t="n">
        <f aca="false">SUM(B5:B12)</f>
        <v>38</v>
      </c>
      <c r="C13" s="17" t="n">
        <f aca="false">SUM(C5:C12)</f>
        <v>2</v>
      </c>
      <c r="D13" s="17" t="n">
        <f aca="false">SUM(D5:D12)</f>
        <v>1</v>
      </c>
      <c r="E13" s="17" t="n">
        <f aca="false">SUM(E5:E12)</f>
        <v>0</v>
      </c>
      <c r="F13" s="17" t="n">
        <f aca="false">SUM(F5:F12)</f>
        <v>1</v>
      </c>
      <c r="G13" s="17" t="n">
        <f aca="false">SUM(G5:G12)</f>
        <v>3</v>
      </c>
      <c r="H13" s="17" t="n">
        <f aca="false">SUM(H5:H12)</f>
        <v>45</v>
      </c>
    </row>
    <row r="16" customFormat="false" ht="15" hidden="false" customHeight="false" outlineLevel="0" collapsed="false">
      <c r="A16" s="18" t="s">
        <v>206</v>
      </c>
    </row>
    <row r="17" customFormat="false" ht="23.85" hidden="false" customHeight="false" outlineLevel="0" collapsed="false">
      <c r="A17" s="6" t="s">
        <v>21</v>
      </c>
      <c r="B17" s="6" t="s">
        <v>207</v>
      </c>
      <c r="C17" s="6" t="s">
        <v>208</v>
      </c>
    </row>
    <row r="18" customFormat="false" ht="15" hidden="false" customHeight="false" outlineLevel="0" collapsed="false">
      <c r="A18" s="13" t="s">
        <v>43</v>
      </c>
      <c r="B18" s="14" t="n">
        <f aca="false">COUNTIFS('Open items'!$D$5:$D$49,$A18,'Open items'!$F$5:$F$49,"&lt;&gt;Done",'Open items'!$F$5:$F$49,"&lt;&gt;Parked")</f>
        <v>15</v>
      </c>
      <c r="C18" s="14" t="n">
        <f aca="false">COUNTIFS('Open items'!$D$5:$D$49,$A18,'Open items'!$F$5:$F$49,"&lt;&gt;Done",'Open items'!$F$5:$F$49,"&lt;&gt;Parked",'Open items'!$E$5:$E$49,"Yes")</f>
        <v>1</v>
      </c>
    </row>
    <row r="19" customFormat="false" ht="15" hidden="false" customHeight="false" outlineLevel="0" collapsed="false">
      <c r="A19" s="13" t="s">
        <v>32</v>
      </c>
      <c r="B19" s="14" t="n">
        <f aca="false">COUNTIFS('Open items'!$D$5:$D$49,$A19,'Open items'!$F$5:$F$49,"&lt;&gt;Done",'Open items'!$F$5:$F$49,"&lt;&gt;Parked")</f>
        <v>8</v>
      </c>
      <c r="C19" s="14" t="n">
        <f aca="false">COUNTIFS('Open items'!$D$5:$D$49,$A19,'Open items'!$F$5:$F$49,"&lt;&gt;Done",'Open items'!$F$5:$F$49,"&lt;&gt;Parked",'Open items'!$E$5:$E$49,"Yes")</f>
        <v>3</v>
      </c>
    </row>
    <row r="20" customFormat="false" ht="15" hidden="false" customHeight="false" outlineLevel="0" collapsed="false">
      <c r="A20" s="13" t="s">
        <v>47</v>
      </c>
      <c r="B20" s="14" t="n">
        <f aca="false">COUNTIFS('Open items'!$D$5:$D$49,$A20,'Open items'!$F$5:$F$49,"&lt;&gt;Done",'Open items'!$F$5:$F$49,"&lt;&gt;Parked")</f>
        <v>15</v>
      </c>
      <c r="C20" s="14" t="n">
        <f aca="false">COUNTIFS('Open items'!$D$5:$D$49,$A20,'Open items'!$F$5:$F$49,"&lt;&gt;Done",'Open items'!$F$5:$F$49,"&lt;&gt;Parked",'Open items'!$E$5:$E$49,"Yes")</f>
        <v>1</v>
      </c>
    </row>
    <row r="21" customFormat="false" ht="15" hidden="false" customHeight="false" outlineLevel="0" collapsed="false">
      <c r="A21" s="13" t="s">
        <v>51</v>
      </c>
      <c r="B21" s="14" t="n">
        <f aca="false">COUNTIFS('Open items'!$D$5:$D$49,$A21,'Open items'!$F$5:$F$49,"&lt;&gt;Done",'Open items'!$F$5:$F$49,"&lt;&gt;Parked")</f>
        <v>1</v>
      </c>
      <c r="C21" s="14" t="n">
        <f aca="false">COUNTIFS('Open items'!$D$5:$D$49,$A21,'Open items'!$F$5:$F$49,"&lt;&gt;Done",'Open items'!$F$5:$F$49,"&lt;&gt;Parked",'Open items'!$E$5:$E$49,"Yes")</f>
        <v>1</v>
      </c>
    </row>
    <row r="22" customFormat="false" ht="15" hidden="false" customHeight="false" outlineLevel="0" collapsed="false">
      <c r="A22" s="13" t="s">
        <v>73</v>
      </c>
      <c r="B22" s="14" t="n">
        <f aca="false">COUNTIFS('Open items'!$D$5:$D$49,$A22,'Open items'!$F$5:$F$49,"&lt;&gt;Done",'Open items'!$F$5:$F$49,"&lt;&gt;Parked")</f>
        <v>1</v>
      </c>
      <c r="C22" s="14" t="n">
        <f aca="false">COUNTIFS('Open items'!$D$5:$D$49,$A22,'Open items'!$F$5:$F$49,"&lt;&gt;Done",'Open items'!$F$5:$F$49,"&lt;&gt;Parked",'Open items'!$E$5:$E$49,"Yes")</f>
        <v>0</v>
      </c>
    </row>
    <row r="23" customFormat="false" ht="15" hidden="false" customHeight="false" outlineLevel="0" collapsed="false">
      <c r="A23" s="13" t="s">
        <v>164</v>
      </c>
      <c r="B23" s="14" t="n">
        <f aca="false">COUNTIFS('Open items'!$D$5:$D$49,$A23,'Open items'!$F$5:$F$49,"&lt;&gt;Done",'Open items'!$F$5:$F$49,"&lt;&gt;Parked")</f>
        <v>1</v>
      </c>
      <c r="C23" s="14" t="n">
        <f aca="false">COUNTIFS('Open items'!$D$5:$D$49,$A23,'Open items'!$F$5:$F$49,"&lt;&gt;Done",'Open items'!$F$5:$F$49,"&lt;&gt;Parked",'Open items'!$E$5:$E$49,"Yes")</f>
        <v>0</v>
      </c>
    </row>
    <row r="26" customFormat="false" ht="17.35" hidden="false" customHeight="false" outlineLevel="0" collapsed="false">
      <c r="A26" s="18" t="s">
        <v>209</v>
      </c>
      <c r="B26" s="19" t="n">
        <f aca="false">COUNTIFS('Open items'!$E$5:$E$49,"Yes",'Open items'!$F$5:$F$49,"&lt;&gt;Done")</f>
        <v>6</v>
      </c>
    </row>
    <row r="27" customFormat="false" ht="15" hidden="false" customHeight="false" outlineLevel="0" collapsed="false">
      <c r="A27" s="12" t="s">
        <v>210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8"/>
    <col collapsed="false" customWidth="true" hidden="false" outlineLevel="0" max="3" min="3" style="0" width="92"/>
  </cols>
  <sheetData>
    <row r="1" customFormat="false" ht="19.7" hidden="false" customHeight="false" outlineLevel="0" collapsed="false">
      <c r="A1" s="1" t="s">
        <v>211</v>
      </c>
    </row>
    <row r="2" customFormat="false" ht="30" hidden="false" customHeight="true" outlineLevel="0" collapsed="false">
      <c r="A2" s="5" t="s">
        <v>212</v>
      </c>
      <c r="B2" s="5"/>
      <c r="C2" s="5"/>
    </row>
    <row r="4" customFormat="false" ht="24" hidden="false" customHeight="true" outlineLevel="0" collapsed="false">
      <c r="A4" s="20" t="s">
        <v>213</v>
      </c>
      <c r="B4" s="20" t="s">
        <v>214</v>
      </c>
      <c r="C4" s="20" t="s">
        <v>215</v>
      </c>
    </row>
    <row r="5" customFormat="false" ht="35.05" hidden="false" customHeight="false" outlineLevel="0" collapsed="false">
      <c r="A5" s="21" t="s">
        <v>216</v>
      </c>
      <c r="B5" s="22" t="s">
        <v>165</v>
      </c>
      <c r="C5" s="8" t="s">
        <v>217</v>
      </c>
    </row>
    <row r="6" customFormat="false" ht="15" hidden="false" customHeight="false" outlineLevel="0" collapsed="false">
      <c r="A6" s="21" t="s">
        <v>218</v>
      </c>
      <c r="B6" s="23" t="s">
        <v>219</v>
      </c>
      <c r="C6" s="8" t="s">
        <v>220</v>
      </c>
    </row>
    <row r="7" customFormat="false" ht="23.85" hidden="false" customHeight="false" outlineLevel="0" collapsed="false">
      <c r="A7" s="21" t="s">
        <v>221</v>
      </c>
      <c r="B7" s="24" t="s">
        <v>222</v>
      </c>
      <c r="C7" s="8" t="s">
        <v>223</v>
      </c>
    </row>
  </sheetData>
  <mergeCells count="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2026-10-28T16:54:10Z</dcterms:created>
  <dc:creator>openpyxl</dc:creator>
  <dc:description/>
  <dc:language>en-US</dc:language>
  <cp:lastModifiedBy/>
  <dcterms:modified xsi:type="dcterms:W3CDTF">2026-10-28T16:54:10Z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